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Summary" sheetId="1" state="visible" r:id="rId1"/>
    <sheet xmlns:r="http://schemas.openxmlformats.org/officeDocument/2006/relationships" name="Population" sheetId="2" state="visible" r:id="rId2"/>
    <sheet xmlns:r="http://schemas.openxmlformats.org/officeDocument/2006/relationships" name="Concordance" sheetId="3" state="visible" r:id="rId3"/>
    <sheet xmlns:r="http://schemas.openxmlformats.org/officeDocument/2006/relationships" name="TA_Register" sheetId="4" state="visible" r:id="rId4"/>
    <sheet xmlns:r="http://schemas.openxmlformats.org/officeDocument/2006/relationships" name="LX_Register" sheetId="5" state="visible" r:id="rId5"/>
    <sheet xmlns:r="http://schemas.openxmlformats.org/officeDocument/2006/relationships" name="Evidence" sheetId="6" state="visible" r:id="rId6"/>
  </sheets>
  <definedNames/>
  <calcPr calcId="124519" fullCalcOnLoad="1" refMode="A1" iterate="0" iterateCount="100" iterateDelta="0.0001"/>
</workbook>
</file>

<file path=xl/styles.xml><?xml version="1.0" encoding="utf-8"?>
<styleSheet xmlns="http://schemas.openxmlformats.org/spreadsheetml/2006/main">
  <numFmts count="0"/>
  <fonts count="17">
    <font>
      <name val="Calibri"/>
      <charset val="1"/>
      <family val="2"/>
      <color theme="1"/>
      <sz val="11"/>
    </font>
    <font>
      <name val="Arial"/>
      <family val="0"/>
      <sz val="10"/>
    </font>
    <font>
      <name val="Arial"/>
      <family val="0"/>
      <sz val="10"/>
    </font>
    <font>
      <name val="Arial"/>
      <family val="0"/>
      <sz val="10"/>
    </font>
    <font>
      <name val="Arial"/>
      <charset val="1"/>
      <family val="0"/>
      <b val="1"/>
      <color rgb="FF1C1410"/>
      <sz val="14"/>
    </font>
    <font>
      <name val="Arial"/>
      <charset val="1"/>
      <family val="0"/>
      <i val="1"/>
      <color rgb="FF555555"/>
      <sz val="9"/>
    </font>
    <font>
      <name val="Arial"/>
      <charset val="1"/>
      <family val="0"/>
      <sz val="10"/>
    </font>
    <font>
      <name val="Arial"/>
      <charset val="1"/>
      <family val="0"/>
      <b val="1"/>
      <sz val="10"/>
    </font>
    <font>
      <name val="Arial"/>
      <charset val="1"/>
      <family val="0"/>
      <b val="1"/>
      <color rgb="FF059669"/>
      <sz val="11"/>
    </font>
    <font>
      <name val="Arial"/>
      <charset val="1"/>
      <family val="0"/>
      <b val="1"/>
      <color rgb="FFFFFFFF"/>
      <sz val="10"/>
    </font>
    <font>
      <name val="Arial"/>
      <charset val="1"/>
      <family val="0"/>
      <color rgb="FF059669"/>
      <sz val="11"/>
    </font>
    <font>
      <name val="Arial"/>
      <charset val="1"/>
      <family val="0"/>
      <b val="1"/>
      <color rgb="FFB91C1C"/>
      <sz val="11"/>
    </font>
    <font>
      <name val="Arial"/>
      <charset val="1"/>
      <family val="0"/>
      <b val="1"/>
      <color rgb="FFC05A00"/>
      <sz val="11"/>
    </font>
    <font>
      <name val="Arial"/>
      <charset val="1"/>
      <family val="0"/>
      <b val="1"/>
      <color rgb="FF6A7080"/>
      <sz val="11"/>
    </font>
    <font>
      <name val="Arial"/>
      <b val="1"/>
      <color rgb="00B91C1C"/>
    </font>
    <font>
      <name val="Arial"/>
      <b val="1"/>
      <color rgb="00059669"/>
    </font>
    <font>
      <name val="Arial"/>
      <b val="1"/>
      <color rgb="00C05A00"/>
    </font>
  </fonts>
  <fills count="4">
    <fill>
      <patternFill/>
    </fill>
    <fill>
      <patternFill patternType="gray125"/>
    </fill>
    <fill>
      <patternFill patternType="solid">
        <fgColor rgb="FFF5EDDA"/>
        <bgColor rgb="FFFFFFFF"/>
      </patternFill>
    </fill>
    <fill>
      <patternFill patternType="solid">
        <fgColor rgb="FF2A2F3A"/>
        <bgColor rgb="FF1C1410"/>
      </patternFill>
    </fill>
  </fills>
  <borders count="2">
    <border>
      <left/>
      <right/>
      <top/>
      <bottom/>
      <diagonal/>
    </border>
    <border>
      <left style="thin">
        <color rgb="FFC8BFAD"/>
      </left>
      <right style="thin">
        <color rgb="FFC8BFAD"/>
      </right>
      <top style="thin">
        <color rgb="FFC8BFAD"/>
      </top>
      <bottom style="thin">
        <color rgb="FFC8BFAD"/>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43">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0" fontId="6" fillId="0" borderId="0" applyAlignment="1" pivotButton="0" quotePrefix="0" xfId="0">
      <alignment horizontal="general" vertical="bottom"/>
    </xf>
    <xf numFmtId="0" fontId="7" fillId="2" borderId="0" applyAlignment="1" pivotButton="0" quotePrefix="0" xfId="0">
      <alignment horizontal="general" vertical="bottom"/>
    </xf>
    <xf numFmtId="0" fontId="8" fillId="0" borderId="0" applyAlignment="1" pivotButton="0" quotePrefix="0" xfId="0">
      <alignment horizontal="general" vertical="bottom"/>
    </xf>
    <xf numFmtId="0" fontId="0" fillId="0" borderId="0" applyAlignment="1" pivotButton="0" quotePrefix="0" xfId="0">
      <alignment horizontal="general" vertical="top" wrapText="1"/>
    </xf>
    <xf numFmtId="0" fontId="8" fillId="0" borderId="0" applyAlignment="1" pivotButton="0" quotePrefix="0" xfId="0">
      <alignment horizontal="general" vertical="bottom"/>
    </xf>
    <xf numFmtId="0" fontId="9" fillId="3" borderId="0" applyAlignment="1" pivotButton="0" quotePrefix="0" xfId="0">
      <alignment horizontal="general" vertical="center" wrapText="1"/>
    </xf>
    <xf numFmtId="0" fontId="6" fillId="0" borderId="1" applyAlignment="1" pivotButton="0" quotePrefix="0" xfId="0">
      <alignment horizontal="general" vertical="top" wrapText="1"/>
    </xf>
    <xf numFmtId="0" fontId="10" fillId="0" borderId="1" applyAlignment="1" pivotButton="0" quotePrefix="0" xfId="0">
      <alignment horizontal="general" vertical="top" wrapText="1"/>
    </xf>
    <xf numFmtId="0" fontId="11" fillId="0" borderId="1" applyAlignment="1" pivotButton="0" quotePrefix="0" xfId="0">
      <alignment horizontal="general" vertical="top" wrapText="1"/>
    </xf>
    <xf numFmtId="0" fontId="12" fillId="0" borderId="1" applyAlignment="1" pivotButton="0" quotePrefix="0" xfId="0">
      <alignment horizontal="general" vertical="top" wrapText="1"/>
    </xf>
    <xf numFmtId="0" fontId="8" fillId="0" borderId="1" applyAlignment="1" pivotButton="0" quotePrefix="0" xfId="0">
      <alignment horizontal="general" vertical="top" wrapText="1"/>
    </xf>
    <xf numFmtId="0" fontId="13" fillId="0" borderId="1" applyAlignment="1" pivotButton="0" quotePrefix="0" xfId="0">
      <alignment horizontal="general" vertical="top" wrapText="1"/>
    </xf>
    <xf numFmtId="0" fontId="12" fillId="0" borderId="0" applyAlignment="1" pivotButton="0" quotePrefix="0" xfId="0">
      <alignment horizontal="general" vertical="bottom"/>
    </xf>
    <xf numFmtId="0" fontId="10" fillId="0" borderId="0" applyAlignment="1" pivotButton="0" quotePrefix="0" xfId="0">
      <alignment horizontal="general" vertical="bottom"/>
    </xf>
    <xf numFmtId="0" fontId="11"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top" wrapText="1"/>
    </xf>
    <xf numFmtId="0" fontId="6" fillId="0" borderId="0" applyAlignment="1" pivotButton="0" quotePrefix="0" xfId="0">
      <alignment horizontal="general" vertical="bottom"/>
    </xf>
    <xf numFmtId="0" fontId="7" fillId="2" borderId="0" applyAlignment="1" pivotButton="0" quotePrefix="0" xfId="0">
      <alignment horizontal="general" vertical="bottom"/>
    </xf>
    <xf numFmtId="0" fontId="8" fillId="0" borderId="0" applyAlignment="1" pivotButton="0" quotePrefix="0" xfId="0">
      <alignment horizontal="general" vertical="bottom"/>
    </xf>
    <xf numFmtId="0" fontId="0" fillId="0" borderId="0" applyAlignment="1" pivotButton="0" quotePrefix="0" xfId="0">
      <alignment horizontal="general" vertical="top" wrapText="1"/>
    </xf>
    <xf numFmtId="0" fontId="15" fillId="0" borderId="0" pivotButton="0" quotePrefix="0" xfId="0"/>
    <xf numFmtId="0" fontId="0" fillId="0" borderId="0" applyAlignment="1" pivotButton="0" quotePrefix="0" xfId="0">
      <alignment vertical="top" wrapText="1"/>
    </xf>
    <xf numFmtId="0" fontId="9" fillId="3" borderId="0" applyAlignment="1" pivotButton="0" quotePrefix="0" xfId="0">
      <alignment horizontal="general" vertical="center" wrapText="1"/>
    </xf>
    <xf numFmtId="0" fontId="6" fillId="0" borderId="1" applyAlignment="1" pivotButton="0" quotePrefix="0" xfId="0">
      <alignment horizontal="general" vertical="top" wrapText="1"/>
    </xf>
    <xf numFmtId="0" fontId="10" fillId="0" borderId="1" applyAlignment="1" pivotButton="0" quotePrefix="0" xfId="0">
      <alignment horizontal="general" vertical="top" wrapText="1"/>
    </xf>
    <xf numFmtId="0" fontId="11" fillId="0" borderId="1" applyAlignment="1" pivotButton="0" quotePrefix="0" xfId="0">
      <alignment horizontal="general" vertical="top" wrapText="1"/>
    </xf>
    <xf numFmtId="0" fontId="12" fillId="0" borderId="1" applyAlignment="1" pivotButton="0" quotePrefix="0" xfId="0">
      <alignment horizontal="general" vertical="top" wrapText="1"/>
    </xf>
    <xf numFmtId="0" fontId="8" fillId="0" borderId="1" applyAlignment="1" pivotButton="0" quotePrefix="0" xfId="0">
      <alignment horizontal="general" vertical="top" wrapText="1"/>
    </xf>
    <xf numFmtId="0" fontId="13" fillId="0" borderId="1" applyAlignment="1" pivotButton="0" quotePrefix="0" xfId="0">
      <alignment horizontal="general" vertical="top" wrapText="1"/>
    </xf>
    <xf numFmtId="0" fontId="12" fillId="0" borderId="0" applyAlignment="1" pivotButton="0" quotePrefix="0" xfId="0">
      <alignment horizontal="general" vertical="bottom"/>
    </xf>
    <xf numFmtId="0" fontId="10" fillId="0" borderId="0" applyAlignment="1" pivotButton="0" quotePrefix="0" xfId="0">
      <alignment horizontal="general" vertical="bottom"/>
    </xf>
    <xf numFmtId="0" fontId="11" fillId="0" borderId="0" applyAlignment="1" pivotButton="0" quotePrefix="0" xfId="0">
      <alignment horizontal="general" vertical="bottom"/>
    </xf>
    <xf numFmtId="0" fontId="14" fillId="0" borderId="0" pivotButton="0" quotePrefix="0" xfId="0"/>
    <xf numFmtId="0" fontId="16"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59669"/>
      <rgbColor rgb="FFC8BFAD"/>
      <rgbColor rgb="FF808080"/>
      <rgbColor rgb="FF9999FF"/>
      <rgbColor rgb="FF993366"/>
      <rgbColor rgb="FFF5EDDA"/>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C05A00"/>
      <rgbColor rgb="FF6A7080"/>
      <rgbColor rgb="FF969696"/>
      <rgbColor rgb="FF003366"/>
      <rgbColor rgb="FF339966"/>
      <rgbColor rgb="FF003300"/>
      <rgbColor rgb="FF1C1410"/>
      <rgbColor rgb="FFB91C1C"/>
      <rgbColor rgb="FF993366"/>
      <rgbColor rgb="FF555555"/>
      <rgbColor rgb="FF2A2F3A"/>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B52"/>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6" customWidth="1" style="20" min="1" max="1"/>
    <col width="78" customWidth="1" style="20" min="2" max="2"/>
  </cols>
  <sheetData>
    <row r="1" ht="17.25" customHeight="1" s="21">
      <c r="A1" s="22" t="inlineStr">
        <is>
          <t>LC76 OVERLAND REFERENCE LIBRARY — AUDIT WORKING PAPERS</t>
        </is>
      </c>
    </row>
    <row r="2" ht="15" customHeight="1" s="21">
      <c r="A2" s="23" t="inlineStr">
        <is>
          <t>Technical-accuracy &amp; layout/print/mobile conformance review · Step 0 (control environment) deliverable</t>
        </is>
      </c>
    </row>
    <row r="4" ht="15" customHeight="1" s="21">
      <c r="B4" s="24" t="n"/>
    </row>
    <row r="5" ht="15" customHeight="1" s="21">
      <c r="A5" s="25" t="inlineStr">
        <is>
          <t>Phase opened</t>
        </is>
      </c>
      <c r="B5" s="24" t="inlineStr">
        <is>
          <t>18 June 2026</t>
        </is>
      </c>
    </row>
    <row r="6" ht="23.25" customHeight="1" s="21">
      <c r="A6" s="25" t="inlineStr">
        <is>
          <t>Scope this phase</t>
        </is>
      </c>
      <c r="B6" s="24" t="inlineStr">
        <is>
          <t>Technical accuracy + layout conformance. Currency re-verification (comms / border-fee-fuel) DEFERRED. Electrical set R5/R6/R7/R26/R32/R33 DEFERRED to ~2027 LiFePO4 rebuild.</t>
        </is>
      </c>
    </row>
    <row r="7" ht="23.25" customHeight="1" s="21">
      <c r="A7" s="25" t="inlineStr">
        <is>
          <t>Source of truth</t>
        </is>
      </c>
      <c r="B7" s="24" t="inlineStr">
        <is>
          <t>Live GitHub repo (raw.githubusercontent.com/Overlandslabs/Consumption/main). Tier-1 specs: FSM RM617E (engine) + RM730E via toyotamanuals.gitlab.io (chassis) + vendor datasheets.</t>
        </is>
      </c>
    </row>
    <row r="8" ht="15" customHeight="1" s="21">
      <c r="B8" s="24" t="n"/>
    </row>
    <row r="9" ht="15" customHeight="1" s="21">
      <c r="A9" s="26" t="inlineStr">
        <is>
          <t>POPULATION</t>
        </is>
      </c>
      <c r="B9" s="24" t="inlineStr">
        <is>
          <t>count</t>
        </is>
      </c>
    </row>
    <row r="10" ht="15" customHeight="1" s="21">
      <c r="A10" s="25" t="inlineStr">
        <is>
          <t>Content docs — technical-accuracy in scope</t>
        </is>
      </c>
      <c r="B10" s="24">
        <f>COUNTIF(Population!F:F,"In")</f>
        <v/>
      </c>
    </row>
    <row r="11" ht="15" customHeight="1" s="21">
      <c r="A11" s="25" t="inlineStr">
        <is>
          <t>Content docs — ethos (light: citations + layout)</t>
        </is>
      </c>
      <c r="B11" s="24">
        <f>COUNTIF(Population!F:F,"In-light")</f>
        <v/>
      </c>
    </row>
    <row r="12" ht="15" customHeight="1" s="21">
      <c r="A12" s="25" t="inlineStr">
        <is>
          <t>Deferred this phase (electrical / fast-moving)</t>
        </is>
      </c>
      <c r="B12" s="24">
        <f>COUNTIF(Population!F:F,"Deferred")+COUNTIF(Population!F:F,"Out-phase")</f>
        <v/>
      </c>
    </row>
    <row r="13" ht="15" customHeight="1" s="21">
      <c r="A13" s="25" t="inlineStr">
        <is>
          <t>Standards / structural files</t>
        </is>
      </c>
      <c r="B13" s="24">
        <f>COUNTIF(Population!F:F,"Standard")</f>
        <v/>
      </c>
    </row>
    <row r="14" ht="15" customHeight="1" s="21">
      <c r="A14" s="25" t="inlineStr">
        <is>
          <t>Files fetched live &amp; verified present (HTTP 200)</t>
        </is>
      </c>
      <c r="B14" s="24">
        <f>COUNTIF(Population!I:I,200)</f>
        <v/>
      </c>
    </row>
    <row r="15" ht="15" customHeight="1" s="21">
      <c r="B15" s="24" t="n"/>
    </row>
    <row r="16" ht="15" customHeight="1" s="21">
      <c r="A16" s="26" t="inlineStr">
        <is>
          <t>FINDINGS</t>
        </is>
      </c>
      <c r="B16" s="24" t="inlineStr">
        <is>
          <t>count</t>
        </is>
      </c>
    </row>
    <row r="17" ht="15" customHeight="1" s="21">
      <c r="A17" s="25" t="inlineStr">
        <is>
          <t>Technical-accuracy findings — open</t>
        </is>
      </c>
      <c r="B17" s="24">
        <f>COUNTIFS(TA_Register!L:L,"Open")</f>
        <v/>
      </c>
    </row>
    <row r="18" ht="15" customHeight="1" s="21">
      <c r="A18" s="25" t="inlineStr">
        <is>
          <t xml:space="preserve">  of which High / safety-critical</t>
        </is>
      </c>
      <c r="B18" s="24">
        <f>COUNTIFS(TA_Register!F:F,"HIGH")+COUNTIFS(TA_Register!F:F,"S")</f>
        <v/>
      </c>
    </row>
    <row r="19" ht="15" customHeight="1" s="21">
      <c r="A19" s="25" t="inlineStr">
        <is>
          <t>Technical-accuracy — confirmed/closed</t>
        </is>
      </c>
      <c r="B19" s="24">
        <f>COUNTIF(TA_Register!L:L,"Closed")</f>
        <v/>
      </c>
    </row>
    <row r="20" ht="15" customHeight="1" s="21">
      <c r="A20" s="25" t="inlineStr">
        <is>
          <t>Layout findings — open</t>
        </is>
      </c>
      <c r="B20" s="24">
        <f>COUNTIF(LX_Register!H:H,"Open")</f>
        <v/>
      </c>
    </row>
    <row r="21" ht="15" customHeight="1" s="21">
      <c r="B21" s="24" t="n"/>
    </row>
    <row r="22" ht="23.25" customHeight="1" s="21">
      <c r="A22" s="26" t="inlineStr">
        <is>
          <t>STEP 0 STATUS</t>
        </is>
      </c>
      <c r="B22" s="24" t="inlineStr">
        <is>
          <t>Complete — control environment established; Facts.txt locked; 49 files concordance-checked; Design Guidelines (F13) assessed.</t>
        </is>
      </c>
    </row>
    <row r="23" ht="23.25" customHeight="1" s="21">
      <c r="A23" s="25" t="inlineStr">
        <is>
          <t>Carried from Phase 1</t>
        </is>
      </c>
      <c r="B23" s="24" t="inlineStr">
        <is>
          <t>F10 (weighbridge) open=TA-002 · F13 (DG v1.2 + sticky-bg)=LX-001/002 · F17 (template) CLOSED (now 200).</t>
        </is>
      </c>
    </row>
    <row r="24" ht="15" customHeight="1" s="21">
      <c r="A24" s="25" t="inlineStr">
        <is>
          <t>Next</t>
        </is>
      </c>
      <c r="B24" s="24" t="inlineStr">
        <is>
          <t>Tranche 1 — calculators (formula/coefficient audit). R4 &amp; R8 get dedicated sessions.</t>
        </is>
      </c>
    </row>
    <row r="25" ht="15" customHeight="1" s="21">
      <c r="B25" s="24" t="n"/>
    </row>
    <row r="26" ht="15" customHeight="1" s="21">
      <c r="A26" s="26" t="inlineStr">
        <is>
          <t>SIGN-OFF</t>
        </is>
      </c>
      <c r="B26" s="24" t="n"/>
    </row>
    <row r="27" ht="15" customHeight="1" s="21">
      <c r="A27" s="25" t="inlineStr">
        <is>
          <t>Reviewer (Claude / Opus)</t>
        </is>
      </c>
      <c r="B27" s="24" t="inlineStr">
        <is>
          <t>Step 0 executed 18 Jun 2026</t>
        </is>
      </c>
    </row>
    <row r="28" ht="15" customHeight="1" s="21">
      <c r="A28" s="25" t="inlineStr">
        <is>
          <t>Owner acceptance (Neil)</t>
        </is>
      </c>
      <c r="B28" s="24" t="inlineStr">
        <is>
          <t>__________________________</t>
        </is>
      </c>
    </row>
    <row r="30" ht="41.25" customHeight="1" s="21">
      <c r="A30" s="27" t="inlineStr">
        <is>
          <t>TRANCHE 1 — COMPLETE</t>
        </is>
      </c>
      <c r="B30" s="28" t="inlineStr">
        <is>
          <t>All 6 calculators audited. Stream A (formula/accuracy): ALL SOUND — only advisory findings (TA-007/008/009/010), no safety or arithmetic defect. Stream B (layout): JS/div/print/overflow all pass; 2 consistency findings — LX-006 (Tyre Pressure on Pattern-A palette vs Pattern-B siblings), LX-007 (home-pill inconsistent). On-device print/mobile render sign-off remains owner's.</t>
        </is>
      </c>
    </row>
    <row r="32" ht="41.25" customHeight="1" s="21">
      <c r="A32" s="27" t="inlineStr">
        <is>
          <t>TRANCHE 2 — COMPLETE</t>
        </is>
      </c>
      <c r="B32" s="28" t="inlineStr">
        <is>
          <t>Life-safety set fully audited (R34, R17, R10, R36, R9, R35). Result: ONE material finding — TA-017 (R10 missing CPR/choking/anaphylaxis/drowning protocols + 2 broken index cross-refs). All other safety content confirmed sound vs recognised authorities (Toyota/FMVSS, CDC/WHO, ASI, field-guide doctrine, recovery &amp; fire standards). R34 brake-page Tier-1 deep-link still pending. NEXT: Tranche 3 — powertrain (FSM engine page-index + RM730E chassis).</t>
        </is>
      </c>
    </row>
    <row r="33" ht="95.5" customHeight="1" s="21">
      <c r="A33" s="27" t="inlineStr">
        <is>
          <t>TRANCHE 3 — IN PROGRESS</t>
        </is>
      </c>
      <c r="B33" s="28" t="inlineStr">
        <is>
          <t>Quick-win batch cleared 21 Jun 2026: TA-018 closed (xlsx re-tied to R8: 314 records / R810,872.32; R24 checked, no defect — same pattern as R22). TA-006 closed (R25 stale base re-keyed to canonical 310,000 / ~89,000, fit-event mileage preserved). Remaining open in Tranche 3: TA-001 (R4, shim-type correction — needs dedicated session, 226KB file), TA-003/TA-004 (R8 current-odo refs, deferred to T4 dedicated pass), TA-002 (weighbridge-gated, owner action). Next: continue powertrain cluster (R18, R21, R22, R13, R14, R19, R20, R27, R3).</t>
        </is>
      </c>
    </row>
    <row r="34">
      <c r="A34" s="29" t="inlineStr">
        <is>
          <t>TRANCHE 3 — cluster batch</t>
        </is>
      </c>
      <c r="B34" s="30" t="inlineStr">
        <is>
          <t>21 Jun 2026: TA-020 (R18, 3 spots), TA-021 (R27 warn-box), TA-023 (R21 boost) — all closed. Common pattern: stale 'valve clearances no record / overdue' claims and pre-trip pump-rebuild recommendations propagated from before the Jun 2026 Udel overhaul. R20, R19, R13, R14 audited and clean (false positives from pattern scan: R20 'interference' is correct; R19 '1.0 bar' is tyre pressure not boost; R20 'shim' is trunnion not valve). TA-022 (R22 six 308,500 refs) deferred to T4 odometer batch with R8. TA-019 (R3 shim-vs-locknut) folds into R4 dedicated session (same defect family, both touched together).</t>
        </is>
      </c>
    </row>
    <row r="35">
      <c r="A35" s="42" t="inlineStr">
        <is>
          <t>TRANCHE 3 — R4 SCOPE EXPANDED</t>
        </is>
      </c>
      <c r="B35" s="30" t="inlineStr">
        <is>
          <t>21 Jun 2026: R4 scoping discovered the 1HZ-as-OHV defect propagates across SIX locations in R4 (TOC + Cylinder Head + Push Rods/Rocker + Valve Cover + Camshaft + cam-wear + spec table), not just the one card TA-001 originally identified. Logged as TA-024 (supersedes TA-001 single-card scope; TA-001 remains open as a sub-component). DEFERRED to dedicated R4 session per project convention for 80KB+ structural rebuilds. Handover brief prepared. Tranche 3 will close on completion of: TA-024 (R4 architecture), TA-002 (weighbridge, owner action), TA-022 (R22 — folds into T4 odometer batch with R8 TA-003/004).</t>
        </is>
      </c>
    </row>
    <row r="36">
      <c r="A36" s="42" t="inlineStr">
        <is>
          <t>TRANCHE 3 — R4 ARCHITECTURE CLOSED</t>
        </is>
      </c>
      <c r="B36" s="30" t="inlineStr">
        <is>
          <t>21 Jun 2026 (R4 dedicated session): TA-024 closed — 1HZ-as-OHV defect fully corrected in LC76_Engine_Training.html. 16 surgical edits: the brief's 7 targets (TOC, Cylinder Head, core card, Valve Cover, Camshaft body, cam-wear, spec table) PLUS 5 further OHV remnants found by full-file sweep (section-2 desc, core-card glyph, valve-cover loc-pill, camshaft comp-code, camshaft loc-pill) that would otherwise have left R4 self-contradictory. Also fixed wrong clearance values (now 0.15-0.25/0.35-0.45 mm cold) and lobe count (6-&gt;12). TA-001 closed (folded in: shim-type method correction). Validation: div 939/942 held, JS OK, OHV sweep clean. Tranche 3 remaining: TA-002 (weighbridge, owner action), TA-022 (R22 six odo refs, -&gt; T4 odometer batch with R8 TA-003/004).</t>
        </is>
      </c>
    </row>
    <row r="37">
      <c r="A37" s="42" t="inlineStr">
        <is>
          <t>TRANCHE 4 — ODOMETER BATCH (R22 / Checklist / R23)</t>
        </is>
      </c>
      <c r="B37" s="30" t="inlineStr">
        <is>
          <t>21 Jun 2026 (scope-b full refresh): TA-022 closed (R22, 3 current-odo → 310,412, events preserved). TA-029 closed (Checklist: turbo/flush → 86,006, valve item flipped to Udel-done, interval anchor 308,248 retained — owner-confirmed Udel≠routine service). R23 closed via TA-025/026/027/028: powertrain pre-trip verdicts conformed to Udel Jun 2026 (valves/injectors/pump done), exhaust-clearance spec corrected 0.30→0.35-0.45, timing-belt no-record contradiction corrected per ledger @273,023, fuel-filter housing marked done, Denso→Bosch; full odo/derived refresh 310,412/86,006/37,389/39,212/16,463/38,227. Totals: 57 surgical edits, div held (R22 295/295, Checklist 42/42, R23 235/235), JS OK, residual sweep clean, events preserved. Canonical corrected from pre-Udel 310,000/85,594. NEW TA-030 logged OPEN (R8 glow-plug mis-attributed to Udel — owner confirmed not done). Remaining T4: R8 dedicated session (TA-003/004 current-odo + turbo-km + TA-030 glow-plug, JSON-ledger byte-diff). TA-002 weighbridge owner action.</t>
        </is>
      </c>
    </row>
    <row r="38">
      <c r="A38" s="42" t="inlineStr">
        <is>
          <t>TRANCHE 4 — GLOW/TANK CORRECTION (live-ledger reversal)</t>
        </is>
      </c>
      <c r="B38" s="30" t="inlineStr">
        <is>
          <t>21 Jun 2026: full R8 embedded-ledger fetch (during R8 handover prep) overturned the earlier glow-plug call. Udel 19 Jun 2026 line 'Labour to recondition injectors (incl. glow plugs)' = glow plugs R&amp;R'd (no test/parts line → not re-tested/replaced); 'Remove, clean &amp; refit diesel tank — fuel-contamination remediation' = tank flush, the overhaul's root cause. Glow wording harmonised to 'tested Mar 2025 (DupDiesel); R&amp;R Jun 2026 (Udel), not re-tested' in R23 + Facts §2 (TA-030 revised → Open for R8 row; R8 session). Diesel-tank remediation added to R23 fuel section + Facts §2 (TA-031 closed). Lesson: pre-Udel /mnt/project ledger (289 rows) lacked the Udel rows; only the live R8 314-rec ledger carried the evidence — fetch-before-conclude.</t>
        </is>
      </c>
    </row>
    <row r="39">
      <c r="A39" s="42" t="inlineStr">
        <is>
          <t>TRANCHE 4 — R8 PASS CLOSED (odometer batch complete)</t>
        </is>
      </c>
      <c r="B39" s="30" t="inlineStr">
        <is>
          <t>21 Jun 2026 (R8 dedicated session): TA-003 + TA-004 + TA-030 closed. R8 reconciled via 11 surgical edits — 'Current Service Status' header 308,248-&gt;310,412; Last-Service tile -&gt; Udel 310,412/19-06-2026; turbo oil-feed/shaft-play 84,278-&gt;86,006, coolant-flush 84,094/~84,000-&gt;86,006, turbo drain-hose 36,499-&gt;38,227; glow L1043 cell+status &amp; L778 narrative harmonised to 'tested Mar 2025 (DupDiesel) / R&amp;R Jun 2026 (Udel), not re-tested'. Validation: div 223/223, JS OK, JSON service ledger BYTE-FOR-BYTE identical (314 records / R810,872 tie preserved), all event mileages (308,248/308,500) preserved, residual stale-figure sweep clean. Diesel-tank line confirmed already in R8 ledger (no summary block needed). T4 ODOMETER BATCH NOW CLOSED LIBRARY-WIDE (310,412/86,006 across R8/R22/R23/Checklist/Facts); monthly-odometer standing process takes over from next reading. Phase-2 remaining open: TA-002 (weighbridge, owner action). [Owner revision same day: Last-Service tile relabelled 'Last Routine Service' + reverted to 308,248/14-04; 'Current Service Status' header odo suffix dropped. TA-004 stays closed.]</t>
        </is>
      </c>
    </row>
    <row r="40">
      <c r="A40" s="42" t="inlineStr">
        <is>
          <t>TRANCHE 4 REMAINDER — SCOPED &amp; BRIEFED (not yet executed)</t>
        </is>
      </c>
      <c r="B40" s="30" t="inlineStr">
        <is>
          <t>21 Jun 2026: T4-remainder = service/prep cluster docs still un-audited = R1, R2, R11, R28, R31 (R8/R8s/R23 already closed). Live-scanned; handover brief written (LC76_T4_Remainder_Handover.md). NEW findings registered: TA-032 (R31 boost 0.5-&gt;0.6 bar) + TA-033 (R11/R28/R31 odo/turbo-km refresh). R1 payload ~551 + R11 payload section remain TA-002/F10 weighbridge-gated (already provisionally hedged). R2 effectively clean (CSS-alpha &amp; operational-glow false positives noted). Session split per &gt;80KB rule: A=R1+R2+R31 (small batch); B=R11 (84.8KB, weighbridge-gated); C=R28 (104KB). Execute via fetch-live + content-anchored edits.</t>
        </is>
      </c>
    </row>
    <row r="41">
      <c r="A41" s="27" t="inlineStr">
        <is>
          <t>T4-REMAINDER — COMPLETE</t>
        </is>
      </c>
      <c r="B41" s="28" t="inlineStr">
        <is>
          <t>R1/R2 audit-clean (no edits). R31: boost 0.5→0.6 bar ×4, recon-derived →86,006 ×3, intercooler →~260,000 ×3; owner upgrade decisions (exhaust→Done; boost-gauge/alternator/ARP/airbox→Not Required). R11: odo→310,412; payload provisional (TA-002). R28: odo→310,412; payload '~551'; '(Andrea)' removed; 583 bar-primary. TA-032 &amp; TA-033 CLOSED. TA-002 (weighbridge) remains the sole open TA. Follow-on: boost-figure library sweep initiated (R11 done; R1/R13/R19/R23/R24/R27 candidates) + incidental stale-figure findings logged (Concordance r32) pending owner decisions.</t>
        </is>
      </c>
    </row>
    <row r="42">
      <c r="A42" s="27" t="inlineStr">
        <is>
          <t>PASS A/B — §5 STEP 1 DONE (R1 + R13 + R34)</t>
        </is>
      </c>
      <c r="B42" s="28" t="inlineStr">
        <is>
          <t>22 Jun 2026: boost-add R1 + R13 (-&gt; 0.6 bar, bar-only); odo R34 masthead (-&gt; 310,412). TA-034 (boost-add) + TA-035 (odo/derived) FORMALISED — both Open (multi-session passes; close on full-sweep completion). Remaining boost-adds: R19/R23/R24/R27. Remaining odo/derived: R19/R20/R23/R27. Owner ruling 22 Jun: always bump edited-doc masthead date to session date. index.html 22 Jun (no-op); sw.js no bump. Open TAs now: TA-002, TA-034, TA-035.</t>
        </is>
      </c>
    </row>
    <row r="43">
      <c r="A43" s="27" t="inlineStr">
        <is>
          <t>TA-036 — BOSCH VE NAMING SWEEP CLOSED</t>
        </is>
      </c>
      <c r="B43" s="28" t="inlineStr">
        <is>
          <t>24 Jun 2026: 5-file injection-pump naming sweep complete &amp; verified at live HEAD 9b229c3. R4/R24/R27/R31 via logged sessions; R20 verified canonical in-repo (edit committed outside a logged session — provenance in TA-036 Action col &amp; Concordance r47). All five now first-mention 'Bosch VE (Denso-built)' (Denso=1 each). Closer rule satisfied (5/5 'Session (Rxx)' passes). TA-036 -&gt; Closed. Sole remaining open TA = TA-002 (weighbridge, owner-gated). Advisory-open (standing): TA-007/008/009/010. Pending owner decision (out of naming scope): R31 l.285/408 Mar-2025 calibration currency after Jun-2026 Udel pump rebuild.</t>
        </is>
      </c>
    </row>
    <row r="44">
      <c r="A44" s="27" t="inlineStr">
        <is>
          <t>SESSION 24 JUN 2026 — R31 REWORD + LX-004/006 CLOSED</t>
        </is>
      </c>
      <c r="B44" s="28" t="inlineStr">
        <is>
          <t>R31 (Upgrade Assessment): calibration-currency reworded across 6 refs to 'pump bench-recalibrated by Udel Jun 2026, not dyno re-tested; Mar 2025 = last dyno figure' (resolves TA-036 out-of-scope flag; aligned to TA-030). LX-004 (DG max-width:600px) CLOSED as false positive. LX-006 (Tyre Pressure palette) CLOSED via warm Pattern-B repalette (~90 usages, role-aware). All LX findings now closed. Board: TA-002 (weighbridge, owner-gated) is the sole open item; advisory-open standing TA-007/008/009/010. Files for commit: LC76_Upgrade_Assessment.html, LC76_Tyre_Pressure_Calculator.html, index.html, this workbook.</t>
        </is>
      </c>
    </row>
    <row r="45">
      <c r="A45" s="27" t="inlineStr">
        <is>
          <t>R21 LDA CARD ADDED (24 JUN 2026)</t>
        </is>
      </c>
      <c r="B45" s="28" t="inlineStr">
        <is>
          <t>New collapsible card 'How the boost compensator (LDA) works' added to R21 Turbo Operations Guide, after the existing SAC boost-compensator card. Owner-supplied passage corrected on integration: 'Denso VE'-&gt;'Bosch VE (Denso-built)' (TA-036 integrity); 'increasing the plunger's stroke'-&gt;VE control-collar/spill-timing (rotary-pump accurate); German given literally as 'boost-pressure-dependent full-load stop'. Validated: div 168/168, JS node --check OK, masthead bumped. For commit: LC76_Turbo_Operations_Guide.html (no sw.js bump - edit to existing precached file; index.html unchanged - already 24 Jun 2026).</t>
        </is>
      </c>
    </row>
    <row r="46">
      <c r="A46" s="27" t="inlineStr">
        <is>
          <t>POST-INSTALL LIBRARY AUDIT (3 JUL 2026)</t>
        </is>
      </c>
      <c r="B46" s="28" t="inlineStr">
        <is>
          <t>Full-library audit at HEAD 90f846b0: (A) LiFePO4 propagation, (B) design conformance incl. owner-validated v1.4 pattern, (C) structural gates. 54 files SHA-pinned. Findings F18–F37 issued in LC76_Library_Audit_2026-07.html. Headline: session targets R1/R5/R7/R26/R30 convert clean, but 9 further docs still present the lead-acid or pre-quote spec as current (worst R32); v1.4 reached only 6 files; 5 width-cap breaches (incl. R7); R5/R7 off-system fonts; R4/Zambia div imbalance. Remediation RS-1–RS-11 proposed, not executed. Owner gates G1–G4 (TA-037 install odometer, TA-038 jack rating, Karoo fonts, R16 Starlink rewrite). sw.js untouched (governance doc, not precached).</t>
        </is>
      </c>
    </row>
    <row r="47">
      <c r="A47" s="27" t="inlineStr">
        <is>
          <t>RS-1 — ODOMETER PROPAGATION + R32 REBUILD (3 JUL 2026)</t>
        </is>
      </c>
      <c r="B47" s="28" t="inlineStr">
        <is>
          <t>RS-1 executed at HEAD 2a9e29d (audit deliverables confirmed committed). G1: 311,000 km actual reading -&gt; propagated library-wide (Facts §2 + derived-km recompute; mastheads R19/R20/R22/R27/R28/R34; R11 odometer cell; R23 x13 incl. derived 37,977/17,051/39,800/~588; R8 Current-Odometer tile + tyre-derived 46,272). TA-037 CLOSED. F26: R32 Crank Battery Care rebuilt to dual-chemistry as-fitted (v2.0) — 20 surgical edits: status note, S1 architecture para + fitted-stack table (Enertec 210Ah / Orion Smart 50A capped ~40A / SmartShunt / MultiPlus / MPPT), S3 multimeter-only on crank (BM2000 out; SmartShunt = house-only cross-check), S6 charging: alternator = sole crank source, NO dedicated crank maintainer fitted (DEFA gone; MultiPlus/solar serve house only) + practical standing routine (standalone maintainer recommended, else negative-off), install note past-tensed, S9 no-paralleling rewrite (one-way Orion, BMS), xref +R7 pill, footer v2.0 Jul 2026. Willard-specific care content retained intact. Residual Cyrix/BM2000/DEFA/105Ah x1-2 = past-tense removed-equipment framing (exempt). F27: R1 DEFA SmartCharge row -&gt; 'Mains Charging: MultiPlus 12/500 via 16A shore inlet'; masthead 'Last updated' line ADDED (was absent). F36: LiFePO4 Calculator — retired-R33 footer link -&gt; R26 Electrical &amp; Wiring; defaults rebased to fitted spec (capacity 300-&gt;210 Ah incl. display cells + JS fallback, usable 240-&gt;168 Ah, DC-DC 23-&gt;40 A). Hardkorr 200W: verified already named in R7 (x5) + R26 (x4) — no edit needed. Date bumps: R32, R1, R19, R20 (in-masthead), R8, R11, Facts + R23 footer month; index.html already 3 Jul 2026 (no-op); R34/R27/R22/R28 and calculator carry no date element (no-op); sw.js NO bump (content-only edits). Validation: div balance OK on all 12 edited HTML files, all inline JS passes node --check, stale-term sweep clean with exemptions respected, workbook formula baseline preserved, zip integrity verified. NB: pack cited formula baseline 9; live count at HEAD is 11 (presumably +2 from the 3 Jul audit session) — live figure governs. G2 resolution noted on TA-038 (execution in RS-3). Deliverables (14): Facts.txt, R32 Crank Battery Care, R1 Reference Card, LiFePO4 Calculator, R8 Service History, R11 Packing, R19 AT Tyre Review, R20 Seal &amp; Gasket Atlas, R22 Cooling, R23 Pre-Trip Prep, R27 Bush Mechanics, R28 Driving Conditions, R34 Brake System, this workbook. F18 CLOSED (current-odo census complete), F26 CLOSED, F27 CLOSED, F36 CLOSED.</t>
        </is>
      </c>
    </row>
    <row r="48">
      <c r="A48" s="27" t="inlineStr">
        <is>
          <t>RS-2 — R23 PRE-TRIP PREP ELECTRICAL REWRITE (3 JUL 2026)</t>
        </is>
      </c>
      <c r="B48" s="28" t="inlineStr">
        <is>
          <t>RS-2 executed at HEAD 0d43fbd (R23 fetched live; RS-1 odometer figures inherited cleanly — no odo edits needed). F19 CLOSED: alert note rebased (Enertec 210Ah + Orion Smart 50A/~40A cap); full-function check rewritten to fitted stack (SmartShunt SOC/V/A, Orion Smart &lt;=~40A, BatteryProtect state, MPPT cycle, Enertec app check); new MultiPlus shore-power charge/transfer/invert test task added (20A charge, 16A transfer, LiFePO4 preset verify); broken R6 xref pill STRIPPED (R7 pill already present — re-pointing would duplicate); masthead date June-&gt;July 2026. Stale terms zero (Orion-Tr, BMV-712, BMS 12/200, 200Ah all cleared). No payload figures in R23 — caveat not applicable. div 239/239 (+4 for new task row); 2 scripts JS OK; no dup anchors. sw.js untouched (content-only).</t>
        </is>
      </c>
    </row>
    <row r="49">
      <c r="A49" s="27" t="inlineStr">
        <is>
          <t>RS-3 — R27 BUSH MECHANICS FITTED-STACK REWRITE (3 JUL 2026)</t>
        </is>
      </c>
      <c r="B49" s="28" t="inlineStr">
        <is>
          <t>RS-3 executed at HEAD 386df42 (RS-2 commit confirmed; R27 fetched live, 130.1 KB, own session per &gt;80KB rule). F22 CLOSED: BMV-712 -&gt; SmartShunt x2 (charging-fault diag step 1 + limp-table monitor cell); Orion-Tr -&gt; Orion Smart 12/12-50A (~40A cap) with non-isolated correction ('the Orion is isolated' claim removed — DC-DC one-way, cannot back-feed); ok-box rebased to 210Ah Enertec + 105A total load budget + BatteryProtect 65A load-shed behaviour ('normal, not a second fault'); starter no-crank step: 'jump via the Orion' corrected to direct heavy-cable jump (Orion unidirectional) + 210Ah. F37/G2 CLOSED (TA-038): jack/axle-stand item 12 '2,160 kg minimum' -&gt; '&gt;=2.5 t, inspected' + provisional-kerb caveat. No masthead date line in R27 (odo 311,000 already current from RS-1). Gates: div 815/815; 1 script JS OK; stale sweep zero (BMV-712/Orion-Tr/200Ah/2,160 cleared); no dup anchors. sw.js untouched (content-only).</t>
        </is>
      </c>
    </row>
    <row r="50">
      <c r="A50" s="27" t="inlineStr">
        <is>
          <t>RS-4 — SMALL-FILE STALE SWEEP + R16 G4 REWRITE (3 JUL 2026)</t>
        </is>
      </c>
      <c r="B50" s="28" t="inlineStr">
        <is>
          <t>RS-4 executed at HEAD 1a07fee (RS-3 commit confirmed). Five files, 13 edits. R2 (F20 CLOSED): BM2000 detail -&gt; SmartShunt SOC/voltage (LiFePO4 thresholds 13.2V/90%); Cyrix item -&gt; BatteryProtect &amp; M-series battery-switch check; Sinetech item -&gt; MultiPlus (inverter off/charger-only for driving); masthead -&gt; July 2026. R16 (F23/G4 CLOSED — judgment rewrite): step-up-converter para rewritten for LiFePO4 flat discharge curve — sag/reboot rationale retired, 12V-direct default, step-up demoted to fix-for-measured-voltage-drop only; endurance rebased ~80-100h from 210Ah@80% usable; DC-direct rule retained with MultiPlus AC option + idle-draw trade-off noted; 'current lead-acid system'/'2027 upgrade' premise and Deltec/Sinetech refs removed; masthead -&gt; 3 July 2026. R35 (F24 CLOSED): fire-isolation step -&gt; M-series switch OFF (house bank + MultiPlus) then crank kill-switch. Service Checklist (F25 CLOSED): battery_chk -&gt; fitted stack (SmartShunt, BatteryProtect, DC-DC ~40A, Enertec app). R12 (payload caveat): 551kg -&gt; ~551kg provisional pending weighbridge; masthead -&gt; 3 July 2026. Gates all five: div balanced (301/57/92/42/113), JS node --check OK, stale sweep zero, no dup anchors. sw.js untouched (content-only). R35/Service Checklist carry no masthead date line.</t>
        </is>
      </c>
    </row>
    <row r="51">
      <c r="A51" s="27" t="inlineStr">
        <is>
          <t>RS-5 — R11 PACKING FITTED-STACK SURGICAL (3 JUL 2026)</t>
        </is>
      </c>
      <c r="B51" s="28" t="inlineStr">
        <is>
          <t>RS-5 executed at HEAD 47806be (RS-4 commit confirmed via R16 marker; R11 fetched live, 84.8 KB, own session per &gt;80KB rule). F21 CLOSED: Power &amp; Electrical equipment table — 7 stale rows replaced with 9-row fitted stack (Willard 650 crank unchanged; Enertec Power+ 210Ah LiFePO4 house w/ internal BMS + 20 kg; Orion Smart 12/12-50A Non-isolated capped ~40A; SmartShunt 500A; MultiPlus 12/500/20-16 ~430W cont.; SmartSolar MPPT 100/30; Hardkorr 200W now Current — plugs into MPPT, 'Needs plug-in' tag retired; 16A shore inlet + 15 m lead; BatteryProtect 65A + Safety Hub 150). Cyrix/BM2000/Sinetech/DEFA rows and 'Aux battery 105Ah — Replace -&gt; lithium' row all superseded. SVG storage-layout label '200Ah LiFePO4' -&gt; 210Ah (one extra char, text-anchor:middle in 330px-wide rect — renders fine). Electrical checklist item 200Ah -&gt; 210Ah. BATTERY-WEIGHT ARITHMETIC CENSUS (brief item 5): full sweep of kerb build-up table (factory 2,160 +62 +32 -15 +43 +18 -25 +12 = ~2,287 kerb / ~563 payload), all six cargo-zone breakdown tables (A-F), and cargo total ~402 kg — the aux battery weight was NEVER itemised as a line item anywhere (fixed installed equipment, not in kerb build-up nor cargo zones). NO packed-weight figure carried the old ~30 kg lead-acid weight, therefore NO arithmetic adjustment required — nil-impact recompute. The ~10 kg saving (20 kg Enertec vs ~30 kg lead-acid) remains a real-world credit that will surface in actual weighbridge figures (TA-002) but has no derived chain in R11. Payload-provisional caveat (T4-era info-box, 'all kerb weight figures are estimates... weighbridge') verified present and preserved — not duplicated. Masthead 'Last Updated: 3 July 2026' — session date identical, no bump needed; index.html likewise 3 Jul (no-op). Gates: div 96/96; 2 scripts node --check OK; stale sweep zero (Cyrix/BM2000/DEFA/SmartCharge/Sinetech/200Ah all cleared; 'Hardkorr 200 W' is panel wattage, correct); no dup anchors; workbook formula baseline preserved at 11; testzip None. sw.js untouched (content-only). R11 was the last stale-as-current document — library-wide stale-as-current sweep now COMPLETE.</t>
        </is>
      </c>
    </row>
    <row r="52">
      <c r="A52" s="27" t="inlineStr">
        <is>
          <t>RS-6 — DESIGN FIXES BATCH (3 JUL 2026)</t>
        </is>
      </c>
      <c r="B52" s="28" t="inlineStr">
        <is>
          <t>RS-6 executed at HEAD 4fb1513 (RS-5 commit confirmed via R11 210Ah marker; R11 fetched live, stale sweep clean, RS-5 was last stale-as-current doc). F30 CLOSED (width-cap breaches, LX-009): fixed-pixel max-width caps removed, replaced with max-width:100% + percentage padding — R7 (.body 1100px-&gt;100%+5%), R9 Vehicle Recovery (main 1400px-&gt;100%+5%), R10 Emergency Procedures (main 1200px-&gt;100%+5%), Trip Fuel Planner (.page 1100px-&gt;100%, existing 4% padding retained), index.html (main 1200px-&gt;100%+5%). Print-only 'max-width:none' overrides in R9/R10 left untouched (correct, not a breach). F32 CLOSED (print-color-adjust, part of LX-012): *{-webkit-print-color-adjust:exact!important;print-color-adjust:exact!important;} inserted as first rule inside @media print on Fuel Range Calculator, LiFePO4 Calculator, Trip Fuel Planner, Water Budget Calculator (R7 already had this rule from a prior session — no edit needed there). F33 CLOSED (Karoo G3, LX-010 part + LX-012 part): font import line swapped Playfair Display + Source Serif 4 -&gt; Bebas Neue + Oswald (JetBrains Mono retained for labels); body font-family -&gt; Oswald; .masthead h1 / .section-num / .section h2 / .stop h3 / .fuel-num -&gt; Bebas Neue per display-token role (6 Playfair + 4 Georgia sites cleared, matches audit count exactly). #sticky-nav given padding-top:env(safe-area-inset-top). Karoo itinerary CONVERTS to system typography per owner gate G3 (was pending grandfather-or-convert decision at audit time; resolved to convert in the RS-5/RS-6 handover pack). F31 PART-CLOSED (LX-010 part): R7 side only — 7 Playfair Display sites (.hero-title/.sec-title/.sv/.cfg-hdr-title/.comp-card-name/.price-hd-left, all font-size 15-42px) swapped to Bebas Neue; unused Playfair Display import dropped from R7's font link. R5 (126 KB, DM Serif Display + IBM Plex Sans) remains open — deferred to RS-7 as its own session per the &gt;80KB single-file rule. Date bumps: R9 and R10 mastheads -&gt; 3 July 2026 (both had a 'Last Updated' line at a March 2026 date); R7/Trip Fuel Planner/calculators/Karoo carry no masthead date element (no-op); index.html already read 3 Jul 2026 (no-op, per standing rule only bump if session runs later). Gates: div balance OK on all 9 edited files (R7 211/211, R9 266/266, R10 324/324, Trip Fuel Planner 69/69, index 243/243, Fuel Range 189/189, LiFePO4 Calc 174/174, Water Budget 143/143, Karoo 260/260); node --check OK on all inline JS; stale-term sweep zero (no Playfair/Georgia/Source Serif remain in R7 or Karoo); no duplicate anchors; workbook Summary-sheet formula baseline preserved (9 formula cells, verified unchanged before and after — this session touched no formula cells); testzip() None. sw.js NO bump (all edits content-only to existing precached files). Next: RS-7 (R5 full restyle, own session, Opus).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K56"/>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4" customWidth="1" style="20" min="1" max="1"/>
    <col width="46" customWidth="1" style="20" min="2" max="2"/>
    <col width="5" customWidth="1" style="20" min="3" max="3"/>
    <col width="11" customWidth="1" style="20" min="4" max="4"/>
    <col width="8" customWidth="1" style="20" min="5" max="5"/>
    <col width="11" customWidth="1" style="20" min="6" max="6"/>
    <col width="7" customWidth="1" style="20" min="7" max="7"/>
    <col width="26" customWidth="1" style="20" min="8" max="8"/>
    <col width="7" customWidth="1" style="20" min="9" max="9"/>
    <col width="9" customWidth="1" style="20" min="10" max="10"/>
    <col width="40" customWidth="1" style="20" min="11" max="11"/>
  </cols>
  <sheetData>
    <row r="1" ht="15" customHeight="1" s="21">
      <c r="A1" s="31" t="inlineStr">
        <is>
          <t>#</t>
        </is>
      </c>
      <c r="B1" s="31" t="inlineStr">
        <is>
          <t>File</t>
        </is>
      </c>
      <c r="C1" s="31" t="inlineStr">
        <is>
          <t>R#</t>
        </is>
      </c>
      <c r="D1" s="31" t="inlineStr">
        <is>
          <t>Family</t>
        </is>
      </c>
      <c r="E1" s="31" t="inlineStr">
        <is>
          <t>Pattern</t>
        </is>
      </c>
      <c r="F1" s="31" t="inlineStr">
        <is>
          <t>Scope</t>
        </is>
      </c>
      <c r="G1" s="31" t="inlineStr">
        <is>
          <t>Large?</t>
        </is>
      </c>
      <c r="H1" s="31" t="inlineStr">
        <is>
          <t>Tranche</t>
        </is>
      </c>
      <c r="I1" s="31" t="inlineStr">
        <is>
          <t>HTTP</t>
        </is>
      </c>
      <c r="J1" s="31" t="inlineStr">
        <is>
          <t>Bytes</t>
        </is>
      </c>
      <c r="K1" s="31" t="inlineStr">
        <is>
          <t>Notes</t>
        </is>
      </c>
    </row>
    <row r="2" ht="15" customHeight="1" s="21">
      <c r="A2" s="32" t="n">
        <v>1</v>
      </c>
      <c r="B2" s="32" t="inlineStr">
        <is>
          <t>LC76_Fuel_Range_Calculator.html</t>
        </is>
      </c>
      <c r="C2" s="32" t="n"/>
      <c r="D2" s="32" t="inlineStr">
        <is>
          <t>Calculator</t>
        </is>
      </c>
      <c r="E2" s="32" t="inlineStr">
        <is>
          <t>B</t>
        </is>
      </c>
      <c r="F2" s="32" t="inlineStr">
        <is>
          <t>In</t>
        </is>
      </c>
      <c r="G2" s="32" t="inlineStr">
        <is>
          <t>N</t>
        </is>
      </c>
      <c r="H2" s="32" t="inlineStr">
        <is>
          <t>T1</t>
        </is>
      </c>
      <c r="I2" s="32" t="n">
        <v>200</v>
      </c>
      <c r="J2" s="32" t="n">
        <v>45624</v>
      </c>
      <c r="K2" s="32" t="n"/>
    </row>
    <row r="3" ht="15" customHeight="1" s="21">
      <c r="A3" s="32" t="n">
        <v>2</v>
      </c>
      <c r="B3" s="32" t="inlineStr">
        <is>
          <t>LC76_Trip_Fuel_Planner.html</t>
        </is>
      </c>
      <c r="C3" s="32" t="n"/>
      <c r="D3" s="32" t="inlineStr">
        <is>
          <t>Calculator</t>
        </is>
      </c>
      <c r="E3" s="32" t="inlineStr">
        <is>
          <t>B</t>
        </is>
      </c>
      <c r="F3" s="32" t="inlineStr">
        <is>
          <t>In</t>
        </is>
      </c>
      <c r="G3" s="32" t="inlineStr">
        <is>
          <t>N</t>
        </is>
      </c>
      <c r="H3" s="32" t="inlineStr">
        <is>
          <t>T1</t>
        </is>
      </c>
      <c r="I3" s="32" t="n">
        <v>200</v>
      </c>
      <c r="J3" s="32" t="n">
        <v>38765</v>
      </c>
      <c r="K3" s="32" t="n"/>
    </row>
    <row r="4" ht="15" customHeight="1" s="21">
      <c r="A4" s="32" t="n">
        <v>3</v>
      </c>
      <c r="B4" s="32" t="inlineStr">
        <is>
          <t>LC76_Fuel_Log_Analyser.html</t>
        </is>
      </c>
      <c r="C4" s="32" t="n"/>
      <c r="D4" s="32" t="inlineStr">
        <is>
          <t>Calculator</t>
        </is>
      </c>
      <c r="E4" s="32" t="inlineStr">
        <is>
          <t>B</t>
        </is>
      </c>
      <c r="F4" s="32" t="inlineStr">
        <is>
          <t>In</t>
        </is>
      </c>
      <c r="G4" s="32" t="inlineStr">
        <is>
          <t>N</t>
        </is>
      </c>
      <c r="H4" s="32" t="inlineStr">
        <is>
          <t>T1</t>
        </is>
      </c>
      <c r="I4" s="32" t="n">
        <v>200</v>
      </c>
      <c r="J4" s="32" t="n">
        <v>56829</v>
      </c>
      <c r="K4" s="32" t="n"/>
    </row>
    <row r="5" ht="15" customHeight="1" s="21">
      <c r="A5" s="32" t="n">
        <v>4</v>
      </c>
      <c r="B5" s="32" t="inlineStr">
        <is>
          <t>LC76_Water_Budget_Calculator.html</t>
        </is>
      </c>
      <c r="C5" s="32" t="n"/>
      <c r="D5" s="32" t="inlineStr">
        <is>
          <t>Calculator</t>
        </is>
      </c>
      <c r="E5" s="32" t="inlineStr">
        <is>
          <t>B</t>
        </is>
      </c>
      <c r="F5" s="32" t="inlineStr">
        <is>
          <t>In</t>
        </is>
      </c>
      <c r="G5" s="32" t="inlineStr">
        <is>
          <t>N</t>
        </is>
      </c>
      <c r="H5" s="32" t="inlineStr">
        <is>
          <t>T1</t>
        </is>
      </c>
      <c r="I5" s="32" t="n">
        <v>200</v>
      </c>
      <c r="J5" s="32" t="n">
        <v>39126</v>
      </c>
      <c r="K5" s="32" t="n"/>
    </row>
    <row r="6" ht="34.5" customHeight="1" s="21">
      <c r="A6" s="32" t="n">
        <v>5</v>
      </c>
      <c r="B6" s="32" t="inlineStr">
        <is>
          <t>LC76_LiFePO4_Calculator.html</t>
        </is>
      </c>
      <c r="C6" s="32" t="n"/>
      <c r="D6" s="32" t="inlineStr">
        <is>
          <t>Calculator</t>
        </is>
      </c>
      <c r="E6" s="32" t="inlineStr">
        <is>
          <t>B</t>
        </is>
      </c>
      <c r="F6" s="32" t="inlineStr">
        <is>
          <t>In</t>
        </is>
      </c>
      <c r="G6" s="32" t="inlineStr">
        <is>
          <t>N</t>
        </is>
      </c>
      <c r="H6" s="32" t="inlineStr">
        <is>
          <t>T1 (subject overlaps deferred LiFePO4 sys — audit maths only)</t>
        </is>
      </c>
      <c r="I6" s="32" t="n">
        <v>200</v>
      </c>
      <c r="J6" s="32" t="n">
        <v>45103</v>
      </c>
      <c r="K6" s="32" t="n"/>
    </row>
    <row r="7" ht="15" customHeight="1" s="21">
      <c r="A7" s="32" t="n">
        <v>6</v>
      </c>
      <c r="B7" s="32" t="inlineStr">
        <is>
          <t>LC76_Tyre_Pressure_Calculator.html</t>
        </is>
      </c>
      <c r="C7" s="32" t="n"/>
      <c r="D7" s="32" t="inlineStr">
        <is>
          <t>Calculator</t>
        </is>
      </c>
      <c r="E7" s="32" t="inlineStr">
        <is>
          <t>B</t>
        </is>
      </c>
      <c r="F7" s="32" t="inlineStr">
        <is>
          <t>In</t>
        </is>
      </c>
      <c r="G7" s="32" t="inlineStr">
        <is>
          <t>N</t>
        </is>
      </c>
      <c r="H7" s="32" t="inlineStr">
        <is>
          <t>T1</t>
        </is>
      </c>
      <c r="I7" s="32" t="n">
        <v>200</v>
      </c>
      <c r="J7" s="32" t="n">
        <v>46216</v>
      </c>
      <c r="K7" s="32" t="n"/>
    </row>
    <row r="8" ht="15" customHeight="1" s="21">
      <c r="A8" s="32" t="n">
        <v>7</v>
      </c>
      <c r="B8" s="32" t="inlineStr">
        <is>
          <t>LC76_Overlanders_Manifesto.html</t>
        </is>
      </c>
      <c r="C8" s="32" t="n"/>
      <c r="D8" s="32" t="inlineStr">
        <is>
          <t>Ethos</t>
        </is>
      </c>
      <c r="E8" s="32" t="inlineStr">
        <is>
          <t>A</t>
        </is>
      </c>
      <c r="F8" s="32" t="inlineStr">
        <is>
          <t>In-light</t>
        </is>
      </c>
      <c r="G8" s="32" t="inlineStr">
        <is>
          <t>N</t>
        </is>
      </c>
      <c r="H8" s="32" t="inlineStr">
        <is>
          <t>T7</t>
        </is>
      </c>
      <c r="I8" s="32" t="n">
        <v>200</v>
      </c>
      <c r="J8" s="32" t="n">
        <v>46324</v>
      </c>
      <c r="K8" s="32" t="n"/>
    </row>
    <row r="9" ht="15" customHeight="1" s="21">
      <c r="A9" s="32" t="n">
        <v>8</v>
      </c>
      <c r="B9" s="32" t="inlineStr">
        <is>
          <t>LC76_Overlanders_Manifesto_Commentary.html</t>
        </is>
      </c>
      <c r="C9" s="32" t="n"/>
      <c r="D9" s="32" t="inlineStr">
        <is>
          <t>Ethos</t>
        </is>
      </c>
      <c r="E9" s="32" t="inlineStr">
        <is>
          <t>A</t>
        </is>
      </c>
      <c r="F9" s="32" t="inlineStr">
        <is>
          <t>In-light</t>
        </is>
      </c>
      <c r="G9" s="32" t="inlineStr">
        <is>
          <t>N</t>
        </is>
      </c>
      <c r="H9" s="32" t="inlineStr">
        <is>
          <t>T7</t>
        </is>
      </c>
      <c r="I9" s="32" t="n">
        <v>200</v>
      </c>
      <c r="J9" s="32" t="n">
        <v>78006</v>
      </c>
      <c r="K9" s="32" t="n"/>
    </row>
    <row r="10" ht="15" customHeight="1" s="21">
      <c r="A10" s="32" t="n">
        <v>9</v>
      </c>
      <c r="B10" s="32" t="inlineStr">
        <is>
          <t>LC76_Reference_Card.html</t>
        </is>
      </c>
      <c r="C10" s="32" t="inlineStr">
        <is>
          <t>R1</t>
        </is>
      </c>
      <c r="D10" s="32" t="inlineStr">
        <is>
          <t>Reference</t>
        </is>
      </c>
      <c r="E10" s="32" t="inlineStr">
        <is>
          <t>A</t>
        </is>
      </c>
      <c r="F10" s="32" t="inlineStr">
        <is>
          <t>In</t>
        </is>
      </c>
      <c r="G10" s="32" t="inlineStr">
        <is>
          <t>N</t>
        </is>
      </c>
      <c r="H10" s="32" t="inlineStr">
        <is>
          <t>T4</t>
        </is>
      </c>
      <c r="I10" s="32" t="n">
        <v>200</v>
      </c>
      <c r="J10" s="32" t="n">
        <v>29847</v>
      </c>
      <c r="K10" s="32" t="n"/>
    </row>
    <row r="11" ht="15" customHeight="1" s="21">
      <c r="A11" s="32" t="n">
        <v>10</v>
      </c>
      <c r="B11" s="32" t="inlineStr">
        <is>
          <t>LC76_Departure_Checklist.html</t>
        </is>
      </c>
      <c r="C11" s="32" t="inlineStr">
        <is>
          <t>R2</t>
        </is>
      </c>
      <c r="D11" s="32" t="inlineStr">
        <is>
          <t>Reference</t>
        </is>
      </c>
      <c r="E11" s="32" t="inlineStr">
        <is>
          <t>A</t>
        </is>
      </c>
      <c r="F11" s="32" t="inlineStr">
        <is>
          <t>In</t>
        </is>
      </c>
      <c r="G11" s="32" t="inlineStr">
        <is>
          <t>N</t>
        </is>
      </c>
      <c r="H11" s="32" t="inlineStr">
        <is>
          <t>T4</t>
        </is>
      </c>
      <c r="I11" s="32" t="n">
        <v>200</v>
      </c>
      <c r="J11" s="32" t="n">
        <v>56374</v>
      </c>
      <c r="K11" s="32" t="n"/>
    </row>
    <row r="12" ht="15" customHeight="1" s="21">
      <c r="A12" s="32" t="n">
        <v>11</v>
      </c>
      <c r="B12" s="32" t="inlineStr">
        <is>
          <t>LC76_Spares_Tools.html</t>
        </is>
      </c>
      <c r="C12" s="32" t="inlineStr">
        <is>
          <t>R3</t>
        </is>
      </c>
      <c r="D12" s="32" t="inlineStr">
        <is>
          <t>Reference</t>
        </is>
      </c>
      <c r="E12" s="32" t="inlineStr">
        <is>
          <t>A</t>
        </is>
      </c>
      <c r="F12" s="32" t="inlineStr">
        <is>
          <t>In</t>
        </is>
      </c>
      <c r="G12" s="32" t="inlineStr">
        <is>
          <t>N</t>
        </is>
      </c>
      <c r="H12" s="32" t="inlineStr">
        <is>
          <t>T3</t>
        </is>
      </c>
      <c r="I12" s="32" t="n">
        <v>200</v>
      </c>
      <c r="J12" s="32" t="n">
        <v>97473</v>
      </c>
      <c r="K12" s="32" t="n"/>
    </row>
    <row r="13" ht="15" customHeight="1" s="21">
      <c r="A13" s="32" t="n">
        <v>12</v>
      </c>
      <c r="B13" s="32" t="inlineStr">
        <is>
          <t>LC76_Engine_Training.html</t>
        </is>
      </c>
      <c r="C13" s="32" t="inlineStr">
        <is>
          <t>R4</t>
        </is>
      </c>
      <c r="D13" s="32" t="inlineStr">
        <is>
          <t>Reference</t>
        </is>
      </c>
      <c r="E13" s="32" t="inlineStr">
        <is>
          <t>A</t>
        </is>
      </c>
      <c r="F13" s="32" t="inlineStr">
        <is>
          <t>In</t>
        </is>
      </c>
      <c r="G13" s="32" t="inlineStr">
        <is>
          <t>Y</t>
        </is>
      </c>
      <c r="H13" s="32" t="inlineStr">
        <is>
          <t>T3 (dedicated)</t>
        </is>
      </c>
      <c r="I13" s="32" t="n">
        <v>200</v>
      </c>
      <c r="J13" s="32" t="n">
        <v>226350</v>
      </c>
      <c r="K13" s="32" t="n"/>
    </row>
    <row r="14" ht="23.25" customHeight="1" s="21">
      <c r="A14" s="32" t="n">
        <v>13</v>
      </c>
      <c r="B14" s="32" t="inlineStr">
        <is>
          <t>LC76_Battery_Training_Guide.html</t>
        </is>
      </c>
      <c r="C14" s="32" t="inlineStr">
        <is>
          <t>R5</t>
        </is>
      </c>
      <c r="D14" s="32" t="inlineStr">
        <is>
          <t>Reference</t>
        </is>
      </c>
      <c r="E14" s="32" t="inlineStr">
        <is>
          <t>A</t>
        </is>
      </c>
      <c r="F14" s="32" t="inlineStr">
        <is>
          <t>Deferred</t>
        </is>
      </c>
      <c r="G14" s="32" t="inlineStr">
        <is>
          <t>N</t>
        </is>
      </c>
      <c r="H14" s="32" t="inlineStr">
        <is>
          <t>— electrical</t>
        </is>
      </c>
      <c r="I14" s="32" t="inlineStr">
        <is>
          <t>not fetched</t>
        </is>
      </c>
      <c r="J14" s="32" t="n"/>
      <c r="K14" s="32" t="n"/>
    </row>
    <row r="15" ht="23.25" customHeight="1" s="21">
      <c r="A15" s="32" t="n">
        <v>14</v>
      </c>
      <c r="B15" s="32" t="inlineStr">
        <is>
          <t>LC76_Battery_Longevity_Report.html</t>
        </is>
      </c>
      <c r="C15" s="32" t="inlineStr">
        <is>
          <t>R6</t>
        </is>
      </c>
      <c r="D15" s="32" t="inlineStr">
        <is>
          <t>Reference</t>
        </is>
      </c>
      <c r="E15" s="32" t="inlineStr">
        <is>
          <t>A</t>
        </is>
      </c>
      <c r="F15" s="32" t="inlineStr">
        <is>
          <t>Deferred</t>
        </is>
      </c>
      <c r="G15" s="32" t="inlineStr">
        <is>
          <t>N</t>
        </is>
      </c>
      <c r="H15" s="32" t="inlineStr">
        <is>
          <t>— electrical</t>
        </is>
      </c>
      <c r="I15" s="32" t="inlineStr">
        <is>
          <t>not fetched</t>
        </is>
      </c>
      <c r="J15" s="32" t="n"/>
      <c r="K15" s="32" t="n"/>
    </row>
    <row r="16" ht="23.25" customHeight="1" s="21">
      <c r="A16" s="32" t="n">
        <v>15</v>
      </c>
      <c r="B16" s="32" t="inlineStr">
        <is>
          <t>LC76_LiFePO4_System_Report.html</t>
        </is>
      </c>
      <c r="C16" s="32" t="inlineStr">
        <is>
          <t>R7</t>
        </is>
      </c>
      <c r="D16" s="32" t="inlineStr">
        <is>
          <t>Reference</t>
        </is>
      </c>
      <c r="E16" s="32" t="inlineStr">
        <is>
          <t>A</t>
        </is>
      </c>
      <c r="F16" s="32" t="inlineStr">
        <is>
          <t>Deferred</t>
        </is>
      </c>
      <c r="G16" s="32" t="inlineStr">
        <is>
          <t>N</t>
        </is>
      </c>
      <c r="H16" s="32" t="inlineStr">
        <is>
          <t>— electrical</t>
        </is>
      </c>
      <c r="I16" s="32" t="inlineStr">
        <is>
          <t>not fetched</t>
        </is>
      </c>
      <c r="J16" s="32" t="n"/>
      <c r="K16" s="32" t="n"/>
    </row>
    <row r="17" ht="15" customHeight="1" s="21">
      <c r="A17" s="32" t="n">
        <v>16</v>
      </c>
      <c r="B17" s="32" t="inlineStr">
        <is>
          <t>LC76_Service_History.html</t>
        </is>
      </c>
      <c r="C17" s="32" t="inlineStr">
        <is>
          <t>R8</t>
        </is>
      </c>
      <c r="D17" s="32" t="inlineStr">
        <is>
          <t>Reference</t>
        </is>
      </c>
      <c r="E17" s="32" t="inlineStr">
        <is>
          <t>A</t>
        </is>
      </c>
      <c r="F17" s="32" t="inlineStr">
        <is>
          <t>In</t>
        </is>
      </c>
      <c r="G17" s="32" t="inlineStr">
        <is>
          <t>Y</t>
        </is>
      </c>
      <c r="H17" s="32" t="inlineStr">
        <is>
          <t>T4 (dedicated, ~146KB)</t>
        </is>
      </c>
      <c r="I17" s="32" t="n">
        <v>200</v>
      </c>
      <c r="J17" s="32" t="n">
        <v>155908</v>
      </c>
      <c r="K17" s="32" t="n"/>
    </row>
    <row r="18" ht="15" customHeight="1" s="21">
      <c r="A18" s="32" t="n">
        <v>17</v>
      </c>
      <c r="B18" s="32" t="inlineStr">
        <is>
          <t>LC76_Service_Checklist.html</t>
        </is>
      </c>
      <c r="C18" s="32" t="inlineStr">
        <is>
          <t>R8s</t>
        </is>
      </c>
      <c r="D18" s="32" t="inlineStr">
        <is>
          <t>Reference</t>
        </is>
      </c>
      <c r="E18" s="32" t="inlineStr">
        <is>
          <t>A</t>
        </is>
      </c>
      <c r="F18" s="32" t="inlineStr">
        <is>
          <t>In</t>
        </is>
      </c>
      <c r="G18" s="32" t="inlineStr">
        <is>
          <t>N</t>
        </is>
      </c>
      <c r="H18" s="32" t="inlineStr">
        <is>
          <t>T4</t>
        </is>
      </c>
      <c r="I18" s="32" t="n">
        <v>200</v>
      </c>
      <c r="J18" s="32" t="n">
        <v>49189</v>
      </c>
      <c r="K18" s="32" t="n"/>
    </row>
    <row r="19" ht="15" customHeight="1" s="21">
      <c r="A19" s="32" t="n">
        <v>18</v>
      </c>
      <c r="B19" s="32" t="inlineStr">
        <is>
          <t>LC76_Vehicle_Recovery_Guide.html</t>
        </is>
      </c>
      <c r="C19" s="32" t="inlineStr">
        <is>
          <t>R9</t>
        </is>
      </c>
      <c r="D19" s="32" t="inlineStr">
        <is>
          <t>Reference</t>
        </is>
      </c>
      <c r="E19" s="32" t="inlineStr">
        <is>
          <t>A</t>
        </is>
      </c>
      <c r="F19" s="32" t="inlineStr">
        <is>
          <t>In</t>
        </is>
      </c>
      <c r="G19" s="32" t="inlineStr">
        <is>
          <t>N</t>
        </is>
      </c>
      <c r="H19" s="32" t="inlineStr">
        <is>
          <t>T2</t>
        </is>
      </c>
      <c r="I19" s="32" t="n">
        <v>200</v>
      </c>
      <c r="J19" s="32" t="n">
        <v>43999</v>
      </c>
      <c r="K19" s="32" t="n"/>
    </row>
    <row r="20" ht="15" customHeight="1" s="21">
      <c r="A20" s="32" t="n">
        <v>19</v>
      </c>
      <c r="B20" s="32" t="inlineStr">
        <is>
          <t>LC76_Emergency_Procedures_Guide.html</t>
        </is>
      </c>
      <c r="C20" s="32" t="inlineStr">
        <is>
          <t>R10</t>
        </is>
      </c>
      <c r="D20" s="32" t="inlineStr">
        <is>
          <t>Reference</t>
        </is>
      </c>
      <c r="E20" s="32" t="inlineStr">
        <is>
          <t>A</t>
        </is>
      </c>
      <c r="F20" s="32" t="inlineStr">
        <is>
          <t>In</t>
        </is>
      </c>
      <c r="G20" s="32" t="inlineStr">
        <is>
          <t>N</t>
        </is>
      </c>
      <c r="H20" s="32" t="inlineStr">
        <is>
          <t>T2</t>
        </is>
      </c>
      <c r="I20" s="32" t="n">
        <v>200</v>
      </c>
      <c r="J20" s="32" t="n">
        <v>67593</v>
      </c>
      <c r="K20" s="32" t="n"/>
    </row>
    <row r="21" ht="15" customHeight="1" s="21">
      <c r="A21" s="32" t="n">
        <v>20</v>
      </c>
      <c r="B21" s="32" t="inlineStr">
        <is>
          <t>LC76_Packing_Optimisation_Guide.html</t>
        </is>
      </c>
      <c r="C21" s="32" t="inlineStr">
        <is>
          <t>R11</t>
        </is>
      </c>
      <c r="D21" s="32" t="inlineStr">
        <is>
          <t>Reference</t>
        </is>
      </c>
      <c r="E21" s="32" t="inlineStr">
        <is>
          <t>A</t>
        </is>
      </c>
      <c r="F21" s="32" t="inlineStr">
        <is>
          <t>In</t>
        </is>
      </c>
      <c r="G21" s="32" t="inlineStr">
        <is>
          <t>N</t>
        </is>
      </c>
      <c r="H21" s="32" t="inlineStr">
        <is>
          <t>T4 (F10-gated)</t>
        </is>
      </c>
      <c r="I21" s="32" t="n">
        <v>200</v>
      </c>
      <c r="J21" s="32" t="n">
        <v>90872</v>
      </c>
      <c r="K21" s="32" t="n"/>
    </row>
    <row r="22" ht="15" customHeight="1" s="21">
      <c r="A22" s="32" t="n">
        <v>21</v>
      </c>
      <c r="B22" s="32" t="inlineStr">
        <is>
          <t>LC76_Water_Management_Guide.html</t>
        </is>
      </c>
      <c r="C22" s="32" t="inlineStr">
        <is>
          <t>R12</t>
        </is>
      </c>
      <c r="D22" s="32" t="inlineStr">
        <is>
          <t>Reference</t>
        </is>
      </c>
      <c r="E22" s="32" t="inlineStr">
        <is>
          <t>A</t>
        </is>
      </c>
      <c r="F22" s="32" t="inlineStr">
        <is>
          <t>In</t>
        </is>
      </c>
      <c r="G22" s="32" t="inlineStr">
        <is>
          <t>N</t>
        </is>
      </c>
      <c r="H22" s="32" t="inlineStr">
        <is>
          <t>T3</t>
        </is>
      </c>
      <c r="I22" s="32" t="n">
        <v>200</v>
      </c>
      <c r="J22" s="32" t="n">
        <v>51883</v>
      </c>
      <c r="K22" s="32" t="n"/>
    </row>
    <row r="23" ht="15" customHeight="1" s="21">
      <c r="A23" s="32" t="n">
        <v>22</v>
      </c>
      <c r="B23" s="32" t="inlineStr">
        <is>
          <t>LC76_Drivetrain_Training_Guide.html</t>
        </is>
      </c>
      <c r="C23" s="32" t="inlineStr">
        <is>
          <t>R13</t>
        </is>
      </c>
      <c r="D23" s="32" t="inlineStr">
        <is>
          <t>Reference</t>
        </is>
      </c>
      <c r="E23" s="32" t="inlineStr">
        <is>
          <t>A</t>
        </is>
      </c>
      <c r="F23" s="32" t="inlineStr">
        <is>
          <t>In</t>
        </is>
      </c>
      <c r="G23" s="32" t="inlineStr">
        <is>
          <t>N</t>
        </is>
      </c>
      <c r="H23" s="32" t="inlineStr">
        <is>
          <t>T3</t>
        </is>
      </c>
      <c r="I23" s="32" t="n">
        <v>200</v>
      </c>
      <c r="J23" s="32" t="n">
        <v>58809</v>
      </c>
      <c r="K23" s="32" t="n"/>
    </row>
    <row r="24" ht="15" customHeight="1" s="21">
      <c r="A24" s="32" t="n">
        <v>23</v>
      </c>
      <c r="B24" s="32" t="inlineStr">
        <is>
          <t>LC76_Tyre_Management_Guide.html</t>
        </is>
      </c>
      <c r="C24" s="32" t="inlineStr">
        <is>
          <t>R14</t>
        </is>
      </c>
      <c r="D24" s="32" t="inlineStr">
        <is>
          <t>Reference</t>
        </is>
      </c>
      <c r="E24" s="32" t="inlineStr">
        <is>
          <t>A</t>
        </is>
      </c>
      <c r="F24" s="32" t="inlineStr">
        <is>
          <t>In</t>
        </is>
      </c>
      <c r="G24" s="32" t="inlineStr">
        <is>
          <t>N</t>
        </is>
      </c>
      <c r="H24" s="32" t="inlineStr">
        <is>
          <t>T3</t>
        </is>
      </c>
      <c r="I24" s="32" t="n">
        <v>200</v>
      </c>
      <c r="J24" s="32" t="n">
        <v>44282</v>
      </c>
      <c r="K24" s="32" t="n"/>
    </row>
    <row r="25" ht="15" customHeight="1" s="21">
      <c r="A25" s="32" t="n">
        <v>24</v>
      </c>
      <c r="B25" s="32" t="inlineStr">
        <is>
          <t>LC76_Border_Crossings_Guide.html</t>
        </is>
      </c>
      <c r="C25" s="32" t="inlineStr">
        <is>
          <t>R15</t>
        </is>
      </c>
      <c r="D25" s="32" t="inlineStr">
        <is>
          <t>Reference</t>
        </is>
      </c>
      <c r="E25" s="32" t="inlineStr">
        <is>
          <t>A</t>
        </is>
      </c>
      <c r="F25" s="32" t="inlineStr">
        <is>
          <t>In</t>
        </is>
      </c>
      <c r="G25" s="32" t="inlineStr">
        <is>
          <t>N</t>
        </is>
      </c>
      <c r="H25" s="32" t="inlineStr">
        <is>
          <t>T6 (currency-light)</t>
        </is>
      </c>
      <c r="I25" s="32" t="n">
        <v>200</v>
      </c>
      <c r="J25" s="32" t="n">
        <v>59126</v>
      </c>
      <c r="K25" s="32" t="n"/>
    </row>
    <row r="26" ht="15" customHeight="1" s="21">
      <c r="A26" s="32" t="n">
        <v>25</v>
      </c>
      <c r="B26" s="32" t="inlineStr">
        <is>
          <t>LC76_Comms_Navigation_Guide.html</t>
        </is>
      </c>
      <c r="C26" s="32" t="inlineStr">
        <is>
          <t>R16</t>
        </is>
      </c>
      <c r="D26" s="32" t="inlineStr">
        <is>
          <t>Reference</t>
        </is>
      </c>
      <c r="E26" s="32" t="inlineStr">
        <is>
          <t>A</t>
        </is>
      </c>
      <c r="F26" s="32" t="inlineStr">
        <is>
          <t>Out-phase</t>
        </is>
      </c>
      <c r="G26" s="32" t="inlineStr">
        <is>
          <t>N</t>
        </is>
      </c>
      <c r="H26" s="32" t="inlineStr">
        <is>
          <t>fast-moving; verified F7</t>
        </is>
      </c>
      <c r="I26" s="32" t="n">
        <v>200</v>
      </c>
      <c r="J26" s="32" t="n">
        <v>50108</v>
      </c>
      <c r="K26" s="32" t="n"/>
    </row>
    <row r="27" ht="15" customHeight="1" s="21">
      <c r="A27" s="32" t="n">
        <v>26</v>
      </c>
      <c r="B27" s="32" t="inlineStr">
        <is>
          <t>LC76_Health_Hygiene_Guide.html</t>
        </is>
      </c>
      <c r="C27" s="32" t="inlineStr">
        <is>
          <t>R17</t>
        </is>
      </c>
      <c r="D27" s="32" t="inlineStr">
        <is>
          <t>Reference</t>
        </is>
      </c>
      <c r="E27" s="32" t="inlineStr">
        <is>
          <t>A</t>
        </is>
      </c>
      <c r="F27" s="32" t="inlineStr">
        <is>
          <t>In</t>
        </is>
      </c>
      <c r="G27" s="32" t="inlineStr">
        <is>
          <t>N</t>
        </is>
      </c>
      <c r="H27" s="32" t="inlineStr">
        <is>
          <t>T2</t>
        </is>
      </c>
      <c r="I27" s="32" t="n">
        <v>200</v>
      </c>
      <c r="J27" s="32" t="n">
        <v>33705</v>
      </c>
      <c r="K27" s="32" t="n"/>
    </row>
    <row r="28" ht="15" customHeight="1" s="21">
      <c r="A28" s="32" t="n">
        <v>27</v>
      </c>
      <c r="B28" s="32" t="inlineStr">
        <is>
          <t>LC76_1HZ_Troubleshooting_Guide.html</t>
        </is>
      </c>
      <c r="C28" s="32" t="inlineStr">
        <is>
          <t>R18</t>
        </is>
      </c>
      <c r="D28" s="32" t="inlineStr">
        <is>
          <t>Reference</t>
        </is>
      </c>
      <c r="E28" s="32" t="inlineStr">
        <is>
          <t>A</t>
        </is>
      </c>
      <c r="F28" s="32" t="inlineStr">
        <is>
          <t>In</t>
        </is>
      </c>
      <c r="G28" s="32" t="inlineStr">
        <is>
          <t>N</t>
        </is>
      </c>
      <c r="H28" s="32" t="inlineStr">
        <is>
          <t>T3</t>
        </is>
      </c>
      <c r="I28" s="32" t="n">
        <v>200</v>
      </c>
      <c r="J28" s="32" t="n">
        <v>93774</v>
      </c>
      <c r="K28" s="32" t="n"/>
    </row>
    <row r="29" ht="15" customHeight="1" s="21">
      <c r="A29" s="32" t="n">
        <v>28</v>
      </c>
      <c r="B29" s="32" t="inlineStr">
        <is>
          <t>LC76_AT_Tyre_Review_R19.html</t>
        </is>
      </c>
      <c r="C29" s="32" t="inlineStr">
        <is>
          <t>R19</t>
        </is>
      </c>
      <c r="D29" s="32" t="inlineStr">
        <is>
          <t>Reference</t>
        </is>
      </c>
      <c r="E29" s="32" t="inlineStr">
        <is>
          <t>A</t>
        </is>
      </c>
      <c r="F29" s="32" t="inlineStr">
        <is>
          <t>In</t>
        </is>
      </c>
      <c r="G29" s="32" t="inlineStr">
        <is>
          <t>N</t>
        </is>
      </c>
      <c r="H29" s="32" t="inlineStr">
        <is>
          <t>T3</t>
        </is>
      </c>
      <c r="I29" s="32" t="n">
        <v>200</v>
      </c>
      <c r="J29" s="32" t="n">
        <v>96694</v>
      </c>
      <c r="K29" s="32" t="n"/>
    </row>
    <row r="30" ht="15" customHeight="1" s="21">
      <c r="A30" s="32" t="n">
        <v>29</v>
      </c>
      <c r="B30" s="32" t="inlineStr">
        <is>
          <t>LC76_Seal_Gasket_Atlas.html</t>
        </is>
      </c>
      <c r="C30" s="32" t="inlineStr">
        <is>
          <t>R20</t>
        </is>
      </c>
      <c r="D30" s="32" t="inlineStr">
        <is>
          <t>Reference</t>
        </is>
      </c>
      <c r="E30" s="32" t="inlineStr">
        <is>
          <t>A</t>
        </is>
      </c>
      <c r="F30" s="32" t="inlineStr">
        <is>
          <t>In</t>
        </is>
      </c>
      <c r="G30" s="32" t="inlineStr">
        <is>
          <t>N</t>
        </is>
      </c>
      <c r="H30" s="32" t="inlineStr">
        <is>
          <t>T3</t>
        </is>
      </c>
      <c r="I30" s="32" t="n">
        <v>200</v>
      </c>
      <c r="J30" s="32" t="n">
        <v>134650</v>
      </c>
      <c r="K30" s="32" t="n"/>
    </row>
    <row r="31" ht="15" customHeight="1" s="21">
      <c r="A31" s="32" t="n">
        <v>30</v>
      </c>
      <c r="B31" s="32" t="inlineStr">
        <is>
          <t>LC76_Turbo_Operations_Guide.html</t>
        </is>
      </c>
      <c r="C31" s="32" t="inlineStr">
        <is>
          <t>R21</t>
        </is>
      </c>
      <c r="D31" s="32" t="inlineStr">
        <is>
          <t>Reference</t>
        </is>
      </c>
      <c r="E31" s="32" t="inlineStr">
        <is>
          <t>A</t>
        </is>
      </c>
      <c r="F31" s="32" t="inlineStr">
        <is>
          <t>In</t>
        </is>
      </c>
      <c r="G31" s="32" t="inlineStr">
        <is>
          <t>N</t>
        </is>
      </c>
      <c r="H31" s="32" t="inlineStr">
        <is>
          <t>T3</t>
        </is>
      </c>
      <c r="I31" s="32" t="n">
        <v>200</v>
      </c>
      <c r="J31" s="32" t="n">
        <v>67341</v>
      </c>
      <c r="K31" s="32" t="n"/>
    </row>
    <row r="32" ht="15" customHeight="1" s="21">
      <c r="A32" s="32" t="n">
        <v>31</v>
      </c>
      <c r="B32" s="32" t="inlineStr">
        <is>
          <t>LC76_Cooling_System_Guide.html</t>
        </is>
      </c>
      <c r="C32" s="32" t="inlineStr">
        <is>
          <t>R22</t>
        </is>
      </c>
      <c r="D32" s="32" t="inlineStr">
        <is>
          <t>Reference</t>
        </is>
      </c>
      <c r="E32" s="32" t="inlineStr">
        <is>
          <t>A</t>
        </is>
      </c>
      <c r="F32" s="32" t="inlineStr">
        <is>
          <t>In</t>
        </is>
      </c>
      <c r="G32" s="32" t="inlineStr">
        <is>
          <t>N</t>
        </is>
      </c>
      <c r="H32" s="32" t="inlineStr">
        <is>
          <t>T3</t>
        </is>
      </c>
      <c r="I32" s="32" t="n">
        <v>200</v>
      </c>
      <c r="J32" s="32" t="n">
        <v>77459</v>
      </c>
      <c r="K32" s="32" t="n"/>
    </row>
    <row r="33" ht="15" customHeight="1" s="21">
      <c r="A33" s="32" t="n">
        <v>32</v>
      </c>
      <c r="B33" s="32" t="inlineStr">
        <is>
          <t>LC76_Pre_Trip_Prep_Protocol.html</t>
        </is>
      </c>
      <c r="C33" s="32" t="inlineStr">
        <is>
          <t>R23</t>
        </is>
      </c>
      <c r="D33" s="32" t="inlineStr">
        <is>
          <t>Reference</t>
        </is>
      </c>
      <c r="E33" s="32" t="inlineStr">
        <is>
          <t>A</t>
        </is>
      </c>
      <c r="F33" s="32" t="inlineStr">
        <is>
          <t>In</t>
        </is>
      </c>
      <c r="G33" s="32" t="inlineStr">
        <is>
          <t>N</t>
        </is>
      </c>
      <c r="H33" s="32" t="inlineStr">
        <is>
          <t>T4</t>
        </is>
      </c>
      <c r="I33" s="32" t="n">
        <v>200</v>
      </c>
      <c r="J33" s="32" t="n">
        <v>89808</v>
      </c>
      <c r="K33" s="32" t="n"/>
    </row>
    <row r="34" ht="15" customHeight="1" s="21">
      <c r="A34" s="32" t="n">
        <v>33</v>
      </c>
      <c r="B34" s="32" t="inlineStr">
        <is>
          <t>LC76_Fuel_System_Guide.html</t>
        </is>
      </c>
      <c r="C34" s="32" t="inlineStr">
        <is>
          <t>R24</t>
        </is>
      </c>
      <c r="D34" s="32" t="inlineStr">
        <is>
          <t>Reference</t>
        </is>
      </c>
      <c r="E34" s="32" t="inlineStr">
        <is>
          <t>A</t>
        </is>
      </c>
      <c r="F34" s="32" t="inlineStr">
        <is>
          <t>In</t>
        </is>
      </c>
      <c r="G34" s="32" t="inlineStr">
        <is>
          <t>N</t>
        </is>
      </c>
      <c r="H34" s="32" t="inlineStr">
        <is>
          <t>T3</t>
        </is>
      </c>
      <c r="I34" s="32" t="n">
        <v>200</v>
      </c>
      <c r="J34" s="32" t="n">
        <v>96449</v>
      </c>
      <c r="K34" s="32" t="n"/>
    </row>
    <row r="35" ht="15" customHeight="1" s="21">
      <c r="A35" s="32" t="n">
        <v>34</v>
      </c>
      <c r="B35" s="32" t="inlineStr">
        <is>
          <t>LC76_Suspension_Steering_Guide.html</t>
        </is>
      </c>
      <c r="C35" s="32" t="inlineStr">
        <is>
          <t>R25</t>
        </is>
      </c>
      <c r="D35" s="32" t="inlineStr">
        <is>
          <t>Reference</t>
        </is>
      </c>
      <c r="E35" s="32" t="inlineStr">
        <is>
          <t>A</t>
        </is>
      </c>
      <c r="F35" s="32" t="inlineStr">
        <is>
          <t>In</t>
        </is>
      </c>
      <c r="G35" s="32" t="inlineStr">
        <is>
          <t>N</t>
        </is>
      </c>
      <c r="H35" s="32" t="inlineStr">
        <is>
          <t>T3</t>
        </is>
      </c>
      <c r="I35" s="32" t="n">
        <v>200</v>
      </c>
      <c r="J35" s="32" t="n">
        <v>107274</v>
      </c>
      <c r="K35" s="32" t="n"/>
    </row>
    <row r="36" ht="23.25" customHeight="1" s="21">
      <c r="A36" s="32" t="n">
        <v>35</v>
      </c>
      <c r="B36" s="32" t="inlineStr">
        <is>
          <t>LC76_Electrical_Wiring_Guide.html</t>
        </is>
      </c>
      <c r="C36" s="32" t="inlineStr">
        <is>
          <t>R26</t>
        </is>
      </c>
      <c r="D36" s="32" t="inlineStr">
        <is>
          <t>Reference</t>
        </is>
      </c>
      <c r="E36" s="32" t="inlineStr">
        <is>
          <t>A</t>
        </is>
      </c>
      <c r="F36" s="32" t="inlineStr">
        <is>
          <t>Deferred</t>
        </is>
      </c>
      <c r="G36" s="32" t="inlineStr">
        <is>
          <t>N</t>
        </is>
      </c>
      <c r="H36" s="32" t="inlineStr">
        <is>
          <t>— electrical (interim)</t>
        </is>
      </c>
      <c r="I36" s="32" t="inlineStr">
        <is>
          <t>not fetched</t>
        </is>
      </c>
      <c r="J36" s="32" t="n"/>
      <c r="K36" s="32" t="n"/>
    </row>
    <row r="37" ht="15" customHeight="1" s="21">
      <c r="A37" s="32" t="n">
        <v>36</v>
      </c>
      <c r="B37" s="32" t="inlineStr">
        <is>
          <t>LC76_Bush_Mechanics_Guide.html</t>
        </is>
      </c>
      <c r="C37" s="32" t="inlineStr">
        <is>
          <t>R27</t>
        </is>
      </c>
      <c r="D37" s="32" t="inlineStr">
        <is>
          <t>Reference</t>
        </is>
      </c>
      <c r="E37" s="32" t="inlineStr">
        <is>
          <t>A</t>
        </is>
      </c>
      <c r="F37" s="32" t="inlineStr">
        <is>
          <t>In</t>
        </is>
      </c>
      <c r="G37" s="32" t="inlineStr">
        <is>
          <t>N</t>
        </is>
      </c>
      <c r="H37" s="32" t="inlineStr">
        <is>
          <t>T3</t>
        </is>
      </c>
      <c r="I37" s="32" t="n">
        <v>200</v>
      </c>
      <c r="J37" s="32" t="n">
        <v>129931</v>
      </c>
      <c r="K37" s="32" t="n"/>
    </row>
    <row r="38" ht="15" customHeight="1" s="21">
      <c r="A38" s="32" t="n">
        <v>37</v>
      </c>
      <c r="B38" s="32" t="inlineStr">
        <is>
          <t>LC76_Driving_Conditions_Guide.html</t>
        </is>
      </c>
      <c r="C38" s="32" t="inlineStr">
        <is>
          <t>R28</t>
        </is>
      </c>
      <c r="D38" s="32" t="inlineStr">
        <is>
          <t>Reference</t>
        </is>
      </c>
      <c r="E38" s="32" t="inlineStr">
        <is>
          <t>A</t>
        </is>
      </c>
      <c r="F38" s="32" t="inlineStr">
        <is>
          <t>In</t>
        </is>
      </c>
      <c r="G38" s="32" t="inlineStr">
        <is>
          <t>N</t>
        </is>
      </c>
      <c r="H38" s="32" t="inlineStr">
        <is>
          <t>T4</t>
        </is>
      </c>
      <c r="I38" s="32" t="n">
        <v>200</v>
      </c>
      <c r="J38" s="32" t="n">
        <v>104035</v>
      </c>
      <c r="K38" s="32" t="n"/>
    </row>
    <row r="39" ht="15" customHeight="1" s="21">
      <c r="A39" s="32" t="n">
        <v>38</v>
      </c>
      <c r="B39" s="32" t="inlineStr">
        <is>
          <t>LC76_Insurance_Medevac.html</t>
        </is>
      </c>
      <c r="C39" s="32" t="inlineStr">
        <is>
          <t>R29</t>
        </is>
      </c>
      <c r="D39" s="32" t="inlineStr">
        <is>
          <t>Reference</t>
        </is>
      </c>
      <c r="E39" s="32" t="inlineStr">
        <is>
          <t>A</t>
        </is>
      </c>
      <c r="F39" s="32" t="inlineStr">
        <is>
          <t>In</t>
        </is>
      </c>
      <c r="G39" s="32" t="inlineStr">
        <is>
          <t>N</t>
        </is>
      </c>
      <c r="H39" s="32" t="inlineStr">
        <is>
          <t>T6 (currency-light)</t>
        </is>
      </c>
      <c r="I39" s="32" t="n">
        <v>200</v>
      </c>
      <c r="J39" s="32" t="n">
        <v>113714</v>
      </c>
      <c r="K39" s="32" t="n"/>
    </row>
    <row r="40" ht="15" customHeight="1" s="21">
      <c r="A40" s="32" t="n">
        <v>39</v>
      </c>
      <c r="B40" s="32" t="inlineStr">
        <is>
          <t>LC76_Cross_Reference_Index.html</t>
        </is>
      </c>
      <c r="C40" s="32" t="inlineStr">
        <is>
          <t>R30</t>
        </is>
      </c>
      <c r="D40" s="32" t="inlineStr">
        <is>
          <t>Reference</t>
        </is>
      </c>
      <c r="E40" s="32" t="inlineStr">
        <is>
          <t>A</t>
        </is>
      </c>
      <c r="F40" s="32" t="inlineStr">
        <is>
          <t>In</t>
        </is>
      </c>
      <c r="G40" s="32" t="inlineStr">
        <is>
          <t>N</t>
        </is>
      </c>
      <c r="H40" s="32" t="inlineStr">
        <is>
          <t>T6 (link-integrity)</t>
        </is>
      </c>
      <c r="I40" s="32" t="n">
        <v>200</v>
      </c>
      <c r="J40" s="32" t="n">
        <v>93274</v>
      </c>
      <c r="K40" s="32" t="n"/>
    </row>
    <row r="41" ht="15" customHeight="1" s="21">
      <c r="A41" s="32" t="n">
        <v>40</v>
      </c>
      <c r="B41" s="32" t="inlineStr">
        <is>
          <t>LC76_Upgrade_Assessment.html</t>
        </is>
      </c>
      <c r="C41" s="32" t="inlineStr">
        <is>
          <t>R31</t>
        </is>
      </c>
      <c r="D41" s="32" t="inlineStr">
        <is>
          <t>Reference</t>
        </is>
      </c>
      <c r="E41" s="32" t="inlineStr">
        <is>
          <t>A</t>
        </is>
      </c>
      <c r="F41" s="32" t="inlineStr">
        <is>
          <t>In</t>
        </is>
      </c>
      <c r="G41" s="32" t="inlineStr">
        <is>
          <t>N</t>
        </is>
      </c>
      <c r="H41" s="32" t="inlineStr">
        <is>
          <t>T4</t>
        </is>
      </c>
      <c r="I41" s="32" t="n">
        <v>200</v>
      </c>
      <c r="J41" s="32" t="n">
        <v>45572</v>
      </c>
      <c r="K41" s="32" t="n"/>
    </row>
    <row r="42" ht="23.25" customHeight="1" s="21">
      <c r="A42" s="32" t="n">
        <v>41</v>
      </c>
      <c r="B42" s="32" t="inlineStr">
        <is>
          <t>LC76_Crank_Battery_Care.html</t>
        </is>
      </c>
      <c r="C42" s="32" t="inlineStr">
        <is>
          <t>R32</t>
        </is>
      </c>
      <c r="D42" s="32" t="inlineStr">
        <is>
          <t>Reference</t>
        </is>
      </c>
      <c r="E42" s="32" t="inlineStr">
        <is>
          <t>A</t>
        </is>
      </c>
      <c r="F42" s="32" t="inlineStr">
        <is>
          <t>Deferred</t>
        </is>
      </c>
      <c r="G42" s="32" t="inlineStr">
        <is>
          <t>N</t>
        </is>
      </c>
      <c r="H42" s="32" t="inlineStr">
        <is>
          <t>— electrical</t>
        </is>
      </c>
      <c r="I42" s="32" t="inlineStr">
        <is>
          <t>not fetched</t>
        </is>
      </c>
      <c r="J42" s="32" t="n"/>
      <c r="K42" s="32" t="n"/>
    </row>
    <row r="43" ht="23.25" customHeight="1" s="21">
      <c r="A43" s="32" t="n">
        <v>42</v>
      </c>
      <c r="B43" s="32" t="inlineStr">
        <is>
          <t>LC76_Aux_Battery_Care.html</t>
        </is>
      </c>
      <c r="C43" s="32" t="inlineStr">
        <is>
          <t>R33</t>
        </is>
      </c>
      <c r="D43" s="32" t="inlineStr">
        <is>
          <t>Reference</t>
        </is>
      </c>
      <c r="E43" s="32" t="inlineStr">
        <is>
          <t>A</t>
        </is>
      </c>
      <c r="F43" s="32" t="inlineStr">
        <is>
          <t>Deferred</t>
        </is>
      </c>
      <c r="G43" s="32" t="inlineStr">
        <is>
          <t>N</t>
        </is>
      </c>
      <c r="H43" s="32" t="inlineStr">
        <is>
          <t>— electrical</t>
        </is>
      </c>
      <c r="I43" s="32" t="inlineStr">
        <is>
          <t>not fetched</t>
        </is>
      </c>
      <c r="J43" s="32" t="n"/>
      <c r="K43" s="32" t="n"/>
    </row>
    <row r="44" ht="15" customHeight="1" s="21">
      <c r="A44" s="32" t="n">
        <v>43</v>
      </c>
      <c r="B44" s="32" t="inlineStr">
        <is>
          <t>LC76_Brake_System_Guide.html</t>
        </is>
      </c>
      <c r="C44" s="32" t="inlineStr">
        <is>
          <t>R34</t>
        </is>
      </c>
      <c r="D44" s="32" t="inlineStr">
        <is>
          <t>Reference</t>
        </is>
      </c>
      <c r="E44" s="32" t="inlineStr">
        <is>
          <t>A</t>
        </is>
      </c>
      <c r="F44" s="32" t="inlineStr">
        <is>
          <t>In</t>
        </is>
      </c>
      <c r="G44" s="32" t="inlineStr">
        <is>
          <t>N</t>
        </is>
      </c>
      <c r="H44" s="32" t="inlineStr">
        <is>
          <t>T2</t>
        </is>
      </c>
      <c r="I44" s="32" t="n">
        <v>200</v>
      </c>
      <c r="J44" s="32" t="n">
        <v>36775</v>
      </c>
      <c r="K44" s="32" t="n"/>
    </row>
    <row r="45" ht="15" customHeight="1" s="21">
      <c r="A45" s="32" t="n">
        <v>44</v>
      </c>
      <c r="B45" s="32" t="inlineStr">
        <is>
          <t>LC76_Security_Fire_Guide.html</t>
        </is>
      </c>
      <c r="C45" s="32" t="inlineStr">
        <is>
          <t>R35</t>
        </is>
      </c>
      <c r="D45" s="32" t="inlineStr">
        <is>
          <t>Reference</t>
        </is>
      </c>
      <c r="E45" s="32" t="inlineStr">
        <is>
          <t>A</t>
        </is>
      </c>
      <c r="F45" s="32" t="inlineStr">
        <is>
          <t>In</t>
        </is>
      </c>
      <c r="G45" s="32" t="inlineStr">
        <is>
          <t>N</t>
        </is>
      </c>
      <c r="H45" s="32" t="inlineStr">
        <is>
          <t>T2</t>
        </is>
      </c>
      <c r="I45" s="32" t="n">
        <v>200</v>
      </c>
      <c r="J45" s="32" t="n">
        <v>36849</v>
      </c>
      <c r="K45" s="32" t="n"/>
    </row>
    <row r="46" ht="15" customHeight="1" s="21">
      <c r="A46" s="32" t="n">
        <v>45</v>
      </c>
      <c r="B46" s="32" t="inlineStr">
        <is>
          <t>LC76_Wildlife_Camp_Safety_Guide.html</t>
        </is>
      </c>
      <c r="C46" s="32" t="inlineStr">
        <is>
          <t>R36</t>
        </is>
      </c>
      <c r="D46" s="32" t="inlineStr">
        <is>
          <t>Reference</t>
        </is>
      </c>
      <c r="E46" s="32" t="inlineStr">
        <is>
          <t>A</t>
        </is>
      </c>
      <c r="F46" s="32" t="inlineStr">
        <is>
          <t>In</t>
        </is>
      </c>
      <c r="G46" s="32" t="inlineStr">
        <is>
          <t>N</t>
        </is>
      </c>
      <c r="H46" s="32" t="inlineStr">
        <is>
          <t>T2</t>
        </is>
      </c>
      <c r="I46" s="32" t="n">
        <v>200</v>
      </c>
      <c r="J46" s="32" t="n">
        <v>40669</v>
      </c>
      <c r="K46" s="32" t="n"/>
    </row>
    <row r="47" ht="15" customHeight="1" s="21">
      <c r="A47" s="32" t="n">
        <v>46</v>
      </c>
      <c r="B47" s="32" t="inlineStr">
        <is>
          <t>Angola_Overland_Profile_2026-04.html</t>
        </is>
      </c>
      <c r="C47" s="32" t="inlineStr">
        <is>
          <t>P001</t>
        </is>
      </c>
      <c r="D47" s="32" t="inlineStr">
        <is>
          <t>Profile</t>
        </is>
      </c>
      <c r="E47" s="32" t="inlineStr">
        <is>
          <t>Profile</t>
        </is>
      </c>
      <c r="F47" s="32" t="inlineStr">
        <is>
          <t>In</t>
        </is>
      </c>
      <c r="G47" s="32" t="inlineStr">
        <is>
          <t>N</t>
        </is>
      </c>
      <c r="H47" s="32" t="inlineStr">
        <is>
          <t>T7 (non-currency only)</t>
        </is>
      </c>
      <c r="I47" s="32" t="n">
        <v>200</v>
      </c>
      <c r="J47" s="32" t="n">
        <v>122166</v>
      </c>
      <c r="K47" s="32" t="n"/>
    </row>
    <row r="48" ht="15" customHeight="1" s="21">
      <c r="A48" s="32" t="n">
        <v>47</v>
      </c>
      <c r="B48" s="32" t="inlineStr">
        <is>
          <t>Namibia_Overland_Profile_2026-04.html</t>
        </is>
      </c>
      <c r="C48" s="32" t="inlineStr">
        <is>
          <t>P002</t>
        </is>
      </c>
      <c r="D48" s="32" t="inlineStr">
        <is>
          <t>Profile</t>
        </is>
      </c>
      <c r="E48" s="32" t="inlineStr">
        <is>
          <t>Profile</t>
        </is>
      </c>
      <c r="F48" s="32" t="inlineStr">
        <is>
          <t>In</t>
        </is>
      </c>
      <c r="G48" s="32" t="inlineStr">
        <is>
          <t>N</t>
        </is>
      </c>
      <c r="H48" s="32" t="inlineStr">
        <is>
          <t>T7 (non-currency only)</t>
        </is>
      </c>
      <c r="I48" s="32" t="n">
        <v>200</v>
      </c>
      <c r="J48" s="32" t="n">
        <v>167831</v>
      </c>
      <c r="K48" s="32" t="n"/>
    </row>
    <row r="49" ht="15" customHeight="1" s="21">
      <c r="A49" s="32" t="n">
        <v>48</v>
      </c>
      <c r="B49" s="32" t="inlineStr">
        <is>
          <t>Botswana_Overland_Profile_2026-04.html</t>
        </is>
      </c>
      <c r="C49" s="32" t="inlineStr">
        <is>
          <t>P003</t>
        </is>
      </c>
      <c r="D49" s="32" t="inlineStr">
        <is>
          <t>Profile</t>
        </is>
      </c>
      <c r="E49" s="32" t="inlineStr">
        <is>
          <t>Profile</t>
        </is>
      </c>
      <c r="F49" s="32" t="inlineStr">
        <is>
          <t>In</t>
        </is>
      </c>
      <c r="G49" s="32" t="inlineStr">
        <is>
          <t>N</t>
        </is>
      </c>
      <c r="H49" s="32" t="inlineStr">
        <is>
          <t>T7 (non-currency only)</t>
        </is>
      </c>
      <c r="I49" s="32" t="n">
        <v>200</v>
      </c>
      <c r="J49" s="32" t="n">
        <v>130892</v>
      </c>
      <c r="K49" s="32" t="n"/>
    </row>
    <row r="50" ht="15" customHeight="1" s="21">
      <c r="A50" s="32" t="n">
        <v>49</v>
      </c>
      <c r="B50" s="32" t="inlineStr">
        <is>
          <t>Zambia_Overland_Profile_2026-04.html</t>
        </is>
      </c>
      <c r="C50" s="32" t="inlineStr">
        <is>
          <t>P004</t>
        </is>
      </c>
      <c r="D50" s="32" t="inlineStr">
        <is>
          <t>Profile</t>
        </is>
      </c>
      <c r="E50" s="32" t="inlineStr">
        <is>
          <t>Profile</t>
        </is>
      </c>
      <c r="F50" s="32" t="inlineStr">
        <is>
          <t>In</t>
        </is>
      </c>
      <c r="G50" s="32" t="inlineStr">
        <is>
          <t>N</t>
        </is>
      </c>
      <c r="H50" s="32" t="inlineStr">
        <is>
          <t>T7 (non-currency only)</t>
        </is>
      </c>
      <c r="I50" s="32" t="n">
        <v>200</v>
      </c>
      <c r="J50" s="32" t="n">
        <v>135763</v>
      </c>
      <c r="K50" s="32" t="n"/>
    </row>
    <row r="51" ht="15" customHeight="1" s="21">
      <c r="A51" s="32" t="n">
        <v>50</v>
      </c>
      <c r="B51" s="32" t="inlineStr">
        <is>
          <t>LC76_Kalahari_Profile_2026-04.html</t>
        </is>
      </c>
      <c r="C51" s="32" t="inlineStr">
        <is>
          <t>P005</t>
        </is>
      </c>
      <c r="D51" s="32" t="inlineStr">
        <is>
          <t>Profile</t>
        </is>
      </c>
      <c r="E51" s="32" t="inlineStr">
        <is>
          <t>Profile</t>
        </is>
      </c>
      <c r="F51" s="32" t="inlineStr">
        <is>
          <t>In</t>
        </is>
      </c>
      <c r="G51" s="32" t="inlineStr">
        <is>
          <t>N</t>
        </is>
      </c>
      <c r="H51" s="32" t="inlineStr">
        <is>
          <t>T7 (non-currency only)</t>
        </is>
      </c>
      <c r="I51" s="32" t="n">
        <v>200</v>
      </c>
      <c r="J51" s="32" t="n">
        <v>160662</v>
      </c>
      <c r="K51" s="32" t="n"/>
    </row>
    <row r="52" ht="15" customHeight="1" s="21">
      <c r="A52" s="32" t="n">
        <v>51</v>
      </c>
      <c r="B52" s="32" t="inlineStr">
        <is>
          <t>Tanzania_Overland_Profile_2026-05.html</t>
        </is>
      </c>
      <c r="C52" s="32" t="inlineStr">
        <is>
          <t>P006</t>
        </is>
      </c>
      <c r="D52" s="32" t="inlineStr">
        <is>
          <t>Profile</t>
        </is>
      </c>
      <c r="E52" s="32" t="inlineStr">
        <is>
          <t>Profile</t>
        </is>
      </c>
      <c r="F52" s="32" t="inlineStr">
        <is>
          <t>In</t>
        </is>
      </c>
      <c r="G52" s="32" t="inlineStr">
        <is>
          <t>N</t>
        </is>
      </c>
      <c r="H52" s="32" t="inlineStr">
        <is>
          <t>T7 (non-currency only)</t>
        </is>
      </c>
      <c r="I52" s="32" t="n">
        <v>200</v>
      </c>
      <c r="J52" s="32" t="n">
        <v>113098</v>
      </c>
      <c r="K52" s="32" t="n"/>
    </row>
    <row r="53" ht="15" customHeight="1" s="21">
      <c r="A53" s="32" t="n">
        <v>52</v>
      </c>
      <c r="B53" s="32" t="inlineStr">
        <is>
          <t>LC76_Karoo_Winter_Loop_2026.html</t>
        </is>
      </c>
      <c r="C53" s="32" t="n"/>
      <c r="D53" s="32" t="inlineStr">
        <is>
          <t>Itinerary</t>
        </is>
      </c>
      <c r="E53" s="32" t="inlineStr">
        <is>
          <t>Profile</t>
        </is>
      </c>
      <c r="F53" s="32" t="inlineStr">
        <is>
          <t>In</t>
        </is>
      </c>
      <c r="G53" s="32" t="inlineStr">
        <is>
          <t>N</t>
        </is>
      </c>
      <c r="H53" s="32" t="inlineStr">
        <is>
          <t>T7 (non-currency only)</t>
        </is>
      </c>
      <c r="I53" s="32" t="n">
        <v>200</v>
      </c>
      <c r="J53" s="32" t="n">
        <v>60135</v>
      </c>
      <c r="K53" s="32" t="n"/>
    </row>
    <row r="54" ht="15" customHeight="1" s="21">
      <c r="A54" s="32" t="n">
        <v>53</v>
      </c>
      <c r="B54" s="32" t="inlineStr">
        <is>
          <t>index.html</t>
        </is>
      </c>
      <c r="C54" s="32" t="n"/>
      <c r="D54" s="32" t="inlineStr">
        <is>
          <t>Standard</t>
        </is>
      </c>
      <c r="E54" s="32" t="inlineStr">
        <is>
          <t>A</t>
        </is>
      </c>
      <c r="F54" s="32" t="inlineStr">
        <is>
          <t>Standard</t>
        </is>
      </c>
      <c r="G54" s="32" t="inlineStr">
        <is>
          <t>N</t>
        </is>
      </c>
      <c r="H54" s="32" t="inlineStr">
        <is>
          <t>T0 (propagation target)</t>
        </is>
      </c>
      <c r="I54" s="32" t="n">
        <v>200</v>
      </c>
      <c r="J54" s="32" t="n">
        <v>34867</v>
      </c>
      <c r="K54" s="32" t="n"/>
    </row>
    <row r="55" ht="15" customHeight="1" s="21">
      <c r="A55" s="32" t="n">
        <v>54</v>
      </c>
      <c r="B55" s="32" t="inlineStr">
        <is>
          <t>LC76_Design_Guidelines.html</t>
        </is>
      </c>
      <c r="C55" s="32" t="n"/>
      <c r="D55" s="32" t="inlineStr">
        <is>
          <t>Standard</t>
        </is>
      </c>
      <c r="E55" s="32" t="inlineStr">
        <is>
          <t>A</t>
        </is>
      </c>
      <c r="F55" s="32" t="inlineStr">
        <is>
          <t>Standard</t>
        </is>
      </c>
      <c r="G55" s="32" t="inlineStr">
        <is>
          <t>N</t>
        </is>
      </c>
      <c r="H55" s="32" t="inlineStr">
        <is>
          <t>T0 (yardstick — F13)</t>
        </is>
      </c>
      <c r="I55" s="32" t="n">
        <v>200</v>
      </c>
      <c r="J55" s="32" t="n">
        <v>52776</v>
      </c>
      <c r="K55" s="32" t="n"/>
    </row>
    <row r="56" ht="15" customHeight="1" s="21">
      <c r="A56" s="32" t="n">
        <v>55</v>
      </c>
      <c r="B56" s="32" t="inlineStr">
        <is>
          <t>LC76_Profile_TEMPLATE.html</t>
        </is>
      </c>
      <c r="C56" s="32" t="n"/>
      <c r="D56" s="32" t="inlineStr">
        <is>
          <t>Profile</t>
        </is>
      </c>
      <c r="E56" s="32" t="inlineStr">
        <is>
          <t>Profile</t>
        </is>
      </c>
      <c r="F56" s="32" t="inlineStr">
        <is>
          <t>Standard</t>
        </is>
      </c>
      <c r="G56" s="32" t="inlineStr">
        <is>
          <t>N</t>
        </is>
      </c>
      <c r="H56" s="32" t="inlineStr">
        <is>
          <t>T0 (now 200 — F17 closed)</t>
        </is>
      </c>
      <c r="I56" s="32" t="n">
        <v>200</v>
      </c>
      <c r="J56" s="32" t="n">
        <v>40071</v>
      </c>
      <c r="K56" s="32" t="n"/>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E5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6" customWidth="1" style="20" min="1" max="1"/>
    <col width="34" customWidth="1" style="20" min="2" max="2"/>
    <col width="13" customWidth="1" style="20" min="3" max="3"/>
    <col width="72" customWidth="1" style="20" min="4" max="4"/>
    <col width="9" customWidth="1" style="20" min="5" max="5"/>
  </cols>
  <sheetData>
    <row r="1" ht="15" customHeight="1" s="21">
      <c r="A1" s="31" t="inlineStr">
        <is>
          <t>Shared fact</t>
        </is>
      </c>
      <c r="B1" s="31" t="inlineStr">
        <is>
          <t>Canonical value (Facts.txt)</t>
        </is>
      </c>
      <c r="C1" s="31" t="inlineStr">
        <is>
          <t>Status</t>
        </is>
      </c>
      <c r="D1" s="31" t="inlineStr">
        <is>
          <t>Notes / divergent files</t>
        </is>
      </c>
      <c r="E1" s="31" t="inlineStr">
        <is>
          <t>Finding</t>
        </is>
      </c>
    </row>
    <row r="2" ht="23.25" customHeight="1" s="21">
      <c r="A2" s="32" t="inlineStr">
        <is>
          <t>Current odometer</t>
        </is>
      </c>
      <c r="B2" s="32" t="inlineStr">
        <is>
          <t>310,000 km (read Jun 2026)</t>
        </is>
      </c>
      <c r="C2" s="33" t="inlineStr">
        <is>
          <t>Consistent</t>
        </is>
      </c>
      <c r="D2" s="32" t="inlineStr">
        <is>
          <t>Propagated correctly across 11 docs (R11,R18,R19,R20,R23,R27,R28,R34,Checklist,index). EXCEPTION: R8 — see TA-004.  R25 carries a stale 307,000 base for front-shock age → TA-006 (T3).</t>
        </is>
      </c>
      <c r="E2" s="32" t="inlineStr">
        <is>
          <t>TA-004</t>
        </is>
      </c>
    </row>
    <row r="3" ht="15" customHeight="1" s="21">
      <c r="A3" s="32" t="inlineStr">
        <is>
          <t>GVM</t>
        </is>
      </c>
      <c r="B3" s="32" t="inlineStr">
        <is>
          <t>2,850 kg</t>
        </is>
      </c>
      <c r="C3" s="33" t="inlineStr">
        <is>
          <t>Consistent</t>
        </is>
      </c>
      <c r="D3" s="32" t="inlineStr">
        <is>
          <t>Cited in 23 files; uniform.</t>
        </is>
      </c>
      <c r="E3" s="32" t="n"/>
    </row>
    <row r="4" ht="23.25" customHeight="1" s="21">
      <c r="A4" s="32" t="inlineStr">
        <is>
          <t>Kerb weight</t>
        </is>
      </c>
      <c r="B4" s="32" t="inlineStr">
        <is>
          <t>PROVISIONAL ~2,160 / ~2,299 kg</t>
        </is>
      </c>
      <c r="C4" s="34" t="inlineStr">
        <is>
          <t>DIVERGENT</t>
        </is>
      </c>
      <c r="D4" s="32" t="inlineStr">
        <is>
          <t>Most docs ~2,299; spec-summary line still carries ~2,160. (2,160 'floor-jack rating' is a separate tool spec — false positive, excluded.)</t>
        </is>
      </c>
      <c r="E4" s="32" t="inlineStr">
        <is>
          <t>TA-002</t>
        </is>
      </c>
    </row>
    <row r="5" ht="23.25" customHeight="1" s="21">
      <c r="A5" s="32" t="inlineStr">
        <is>
          <t>Payload</t>
        </is>
      </c>
      <c r="B5" s="32" t="inlineStr">
        <is>
          <t>PROVISIONAL ~551 / ~690 kg</t>
        </is>
      </c>
      <c r="C5" s="34" t="inlineStr">
        <is>
          <t>DIVERGENT</t>
        </is>
      </c>
      <c r="D5" s="32" t="inlineStr">
        <is>
          <t>~551 kg dominant (9×). Provisional; R11 correctly uses weighbridge/estimate language and an '~50 kg over GVM' claim sensitive to kerb choice.</t>
        </is>
      </c>
      <c r="E5" s="32" t="inlineStr">
        <is>
          <t>TA-002</t>
        </is>
      </c>
    </row>
    <row r="6" ht="15" customHeight="1" s="21">
      <c r="A6" s="32" t="inlineStr">
        <is>
          <t>Tyre — current</t>
        </is>
      </c>
      <c r="B6" s="32" t="inlineStr">
        <is>
          <t>265/70R16 (Maxxis AT811)</t>
        </is>
      </c>
      <c r="C6" s="33" t="inlineStr">
        <is>
          <t>Consistent</t>
        </is>
      </c>
      <c r="D6" s="32" t="inlineStr">
        <is>
          <t>R14 table correctly labels current.</t>
        </is>
      </c>
      <c r="E6" s="32" t="n"/>
    </row>
    <row r="7" ht="15" customHeight="1" s="21">
      <c r="A7" s="32" t="inlineStr">
        <is>
          <t>Tyre — planned next set</t>
        </is>
      </c>
      <c r="B7" s="32" t="inlineStr">
        <is>
          <t>265/75R16</t>
        </is>
      </c>
      <c r="C7" s="33" t="inlineStr">
        <is>
          <t>Consistent</t>
        </is>
      </c>
      <c r="D7" s="32" t="inlineStr">
        <is>
          <t>62× — high count expected (R19 is a review OF this size; calculator tables).</t>
        </is>
      </c>
      <c r="E7" s="32" t="n"/>
    </row>
    <row r="8" ht="23.25" customHeight="1" s="21">
      <c r="A8" s="32" t="inlineStr">
        <is>
          <t>Tyre — declined option</t>
        </is>
      </c>
      <c r="B8" s="32" t="inlineStr">
        <is>
          <t>235/85R16</t>
        </is>
      </c>
      <c r="C8" s="33" t="inlineStr">
        <is>
          <t>Consistent</t>
        </is>
      </c>
      <c r="D8" s="32" t="inlineStr">
        <is>
          <t>All 5 hits in R14, framed '✗ Declined' (AT811 unavailable in size). Correct content — not an error.</t>
        </is>
      </c>
      <c r="E8" s="32" t="n"/>
    </row>
    <row r="9" ht="15" customHeight="1" s="21">
      <c r="A9" s="32" t="inlineStr">
        <is>
          <t>Tyre — under assessment</t>
        </is>
      </c>
      <c r="B9" s="32" t="inlineStr">
        <is>
          <t>285/75R16</t>
        </is>
      </c>
      <c r="C9" s="33" t="inlineStr">
        <is>
          <t>Consistent</t>
        </is>
      </c>
      <c r="D9" s="32" t="inlineStr">
        <is>
          <t>25×; framed pending Snyman clearance.</t>
        </is>
      </c>
      <c r="E9" s="32" t="n"/>
    </row>
    <row r="10" ht="15" customHeight="1" s="21">
      <c r="A10" s="32" t="inlineStr">
        <is>
          <t>Fuel capacity</t>
        </is>
      </c>
      <c r="B10" s="32" t="inlineStr">
        <is>
          <t>145 L main + 40 L = ~185 L</t>
        </is>
      </c>
      <c r="C10" s="33" t="inlineStr">
        <is>
          <t>Consistent</t>
        </is>
      </c>
      <c r="D10" s="32" t="inlineStr">
        <is>
          <t>Uniform where cited.</t>
        </is>
      </c>
      <c r="E10" s="32" t="n"/>
    </row>
    <row r="11" ht="15" customHeight="1" s="21">
      <c r="A11" s="32" t="inlineStr">
        <is>
          <t>Turbo recon (event)</t>
        </is>
      </c>
      <c r="B11" s="32" t="inlineStr">
        <is>
          <t>Aug 2023 @ 224,406 km</t>
        </is>
      </c>
      <c r="C11" s="33" t="inlineStr">
        <is>
          <t>Consistent</t>
        </is>
      </c>
      <c r="D11" s="32" t="inlineStr">
        <is>
          <t>7 files; event mileage uniform (must not change).</t>
        </is>
      </c>
      <c r="E11" s="32" t="n"/>
    </row>
    <row r="12" ht="23.25" customHeight="1" s="21">
      <c r="A12" s="32" t="inlineStr">
        <is>
          <t>Km on turbo (DERIVED)</t>
        </is>
      </c>
      <c r="B12" s="32" t="inlineStr">
        <is>
          <t>85,594 km (=310,000−224,406)</t>
        </is>
      </c>
      <c r="C12" s="34" t="inlineStr">
        <is>
          <t>DIVERGENT</t>
        </is>
      </c>
      <c r="D12" s="32" t="inlineStr">
        <is>
          <t>Service Checklist re-keyed to 85,594 (TA-003). R8 deferred T4. NOTE: R25's '~86,000' was front-shocks (N181), not turbo → re-filed TA-006.</t>
        </is>
      </c>
      <c r="E12" s="32" t="inlineStr">
        <is>
          <t>TA-003/006</t>
        </is>
      </c>
    </row>
    <row r="13" ht="15" customHeight="1" s="21">
      <c r="A13" s="32" t="inlineStr">
        <is>
          <t>Engine</t>
        </is>
      </c>
      <c r="B13" s="32" t="inlineStr">
        <is>
          <t>1HZ 4.2L inline-6 diesel</t>
        </is>
      </c>
      <c r="C13" s="33" t="inlineStr">
        <is>
          <t>Consistent</t>
        </is>
      </c>
      <c r="D13" s="32" t="inlineStr">
        <is>
          <t>Uniform.</t>
        </is>
      </c>
      <c r="E13" s="32" t="n"/>
    </row>
    <row r="14" ht="15" customHeight="1" s="21">
      <c r="A14" s="32" t="inlineStr">
        <is>
          <t>Transmission</t>
        </is>
      </c>
      <c r="B14" s="32" t="inlineStr">
        <is>
          <t>R151F 5-speed</t>
        </is>
      </c>
      <c r="C14" s="33" t="inlineStr">
        <is>
          <t>Consistent</t>
        </is>
      </c>
      <c r="D14" s="32" t="inlineStr">
        <is>
          <t>Uniform.</t>
        </is>
      </c>
      <c r="E14" s="32" t="n"/>
    </row>
    <row r="15" ht="15" customHeight="1" s="21">
      <c r="A15" s="32" t="inlineStr">
        <is>
          <t>Suspension — rear</t>
        </is>
      </c>
      <c r="B15" s="32" t="inlineStr">
        <is>
          <t>OME CS058R leaves + 63111 shocks</t>
        </is>
      </c>
      <c r="C15" s="33" t="inlineStr">
        <is>
          <t>Consistent</t>
        </is>
      </c>
      <c r="D15" s="32" t="inlineStr">
        <is>
          <t>Matches Facts §4.</t>
        </is>
      </c>
      <c r="E15" s="32" t="n"/>
    </row>
    <row r="16" ht="23.25" customHeight="1" s="21">
      <c r="A16" s="32" t="inlineStr">
        <is>
          <t>Suspension — front</t>
        </is>
      </c>
      <c r="B16" s="32" t="inlineStr">
        <is>
          <t>OME 859 coils + N181 shocks</t>
        </is>
      </c>
      <c r="C16" s="33" t="inlineStr">
        <is>
          <t>Resolved</t>
        </is>
      </c>
      <c r="D16" s="32" t="inlineStr">
        <is>
          <t>CLOSED: OME 859 coils + N181 shocks added to Facts §1 (TA-005). External part-no verify in R25 pass.</t>
        </is>
      </c>
      <c r="E16" s="32" t="inlineStr">
        <is>
          <t>TA-005</t>
        </is>
      </c>
    </row>
    <row r="17" ht="15" customHeight="1" s="21">
      <c r="A17" s="32" t="inlineStr">
        <is>
          <t>Clutch</t>
        </is>
      </c>
      <c r="B17" s="32" t="inlineStr">
        <is>
          <t>TT 4WD HD, Feb 2026 @ 296,500 km</t>
        </is>
      </c>
      <c r="C17" s="33" t="inlineStr">
        <is>
          <t>Consistent</t>
        </is>
      </c>
      <c r="D17" s="32" t="inlineStr">
        <is>
          <t>Matches Facts §7 (event mileage).</t>
        </is>
      </c>
      <c r="E17" s="32" t="n"/>
    </row>
    <row r="18" ht="23.25" customHeight="1" s="21">
      <c r="A18" s="32" t="inlineStr">
        <is>
          <t>Exhaust</t>
        </is>
      </c>
      <c r="B18" s="32" t="inlineStr">
        <is>
          <t>76mm 409 stainless, May 2026 @ 309,968 km</t>
        </is>
      </c>
      <c r="C18" s="33" t="inlineStr">
        <is>
          <t>Consistent</t>
        </is>
      </c>
      <c r="D18" s="32" t="inlineStr">
        <is>
          <t>Event mileage uniform.</t>
        </is>
      </c>
      <c r="E18" s="32" t="n"/>
    </row>
    <row r="19" ht="23.25" customHeight="1" s="21">
      <c r="A19" s="32" t="inlineStr">
        <is>
          <t>Interference engine</t>
        </is>
      </c>
      <c r="B19" s="32" t="inlineStr">
        <is>
          <t>1HZ IS interference</t>
        </is>
      </c>
      <c r="C19" s="32" t="inlineStr">
        <is>
          <t>To verify</t>
        </is>
      </c>
      <c r="D19" s="32" t="inlineStr">
        <is>
          <t>Presence/correctness to confirm per-doc in tranches (any doc stating non-interference = error).</t>
        </is>
      </c>
      <c r="E19" s="32" t="n"/>
    </row>
    <row r="20" ht="15" customHeight="1" s="21">
      <c r="A20" s="20" t="inlineStr">
        <is>
          <t>TA-018/TA-006 batch</t>
        </is>
      </c>
      <c r="B20" s="20" t="inlineStr">
        <is>
          <t>Closed 21 Jun 2026</t>
        </is>
      </c>
      <c r="C20" s="20" t="inlineStr">
        <is>
          <t>xlsx re-tied 314/R810,872.32 (R8-concordant); R25 re-keyed to 310,000/~89,000</t>
        </is>
      </c>
      <c r="D20" s="20" t="inlineStr">
        <is>
          <t>TA-018, TA-006</t>
        </is>
      </c>
      <c r="E20" s="20" t="inlineStr">
        <is>
          <t>Resolved</t>
        </is>
      </c>
    </row>
    <row r="21">
      <c r="A21" s="20" t="inlineStr">
        <is>
          <t>Tranche 3 cluster batch</t>
        </is>
      </c>
      <c r="B21" s="20" t="inlineStr">
        <is>
          <t>Closed 21 Jun 2026</t>
        </is>
      </c>
      <c r="C21" s="20" t="inlineStr">
        <is>
          <t>R18 (3 edits), R27 (1 edit), R21 (1 edit) — valve-gap &amp; pump-rebuild &amp; boost-pending propagation cleared post-Udel. R3 (TA-019) shim-type fix pending R3 edit. R22 (TA-022) deferred to T4.</t>
        </is>
      </c>
      <c r="D21" s="20" t="inlineStr">
        <is>
          <t>TA-019, TA-020, TA-021, TA-023</t>
        </is>
      </c>
      <c r="E21" s="20" t="inlineStr">
        <is>
          <t>Resolved (R18/R27/R21)</t>
        </is>
      </c>
    </row>
    <row r="22">
      <c r="A22" s="20" t="inlineStr">
        <is>
          <t>Tranche 3 — R4 architecture batch (TA-024/TA-001)</t>
        </is>
      </c>
      <c r="B22" s="20" t="inlineStr">
        <is>
          <t>Closed 21 Jun 2026</t>
        </is>
      </c>
      <c r="C22" s="20" t="inlineStr">
        <is>
          <t>R4 OHV-&gt;SOHC fully reconciled: 16 surgical edits (7 brief targets + 5 sweep-found remnants + clearance-value &amp; lobe-count corrections). 1HZ now correctly described as SOHC, belt-driven, bucket-and-shim throughout. R4 was the last OHV-carrying doc — cluster closed library-wide.</t>
        </is>
      </c>
      <c r="D22" s="20" t="inlineStr">
        <is>
          <t>TA-024, TA-001</t>
        </is>
      </c>
      <c r="E22" s="20" t="inlineStr">
        <is>
          <t>Resolved</t>
        </is>
      </c>
    </row>
    <row r="23">
      <c r="A23" s="20" t="inlineStr">
        <is>
          <t>Register reconciliation (Checklist / R26 / R5 div)</t>
        </is>
      </c>
      <c r="B23" s="20" t="inlineStr">
        <is>
          <t>Verified clean 21 Jun 2026</t>
        </is>
      </c>
      <c r="C23" s="20" t="inlineStr">
        <is>
          <t>All 3 stale memory flags checked against live repo &amp; found already resolved: Service_Checklist registered (under R8) + wired (index + sw.js precache); R26 correctly labelled INTERIM lead-acid (not 'on hold'), repo &amp; Register consistent; R5 div 614/614, JS OK. No edits needed. Fetch-before-edit prevented chasing non-defects.</t>
        </is>
      </c>
      <c r="D23" s="20" t="inlineStr">
        <is>
          <t>(register-mgmt, not TA/LX)</t>
        </is>
      </c>
      <c r="E23" s="20" t="inlineStr">
        <is>
          <t>Resolved</t>
        </is>
      </c>
    </row>
    <row r="24">
      <c r="A24" s="20" t="inlineStr">
        <is>
          <t>T4 odometer batch (R22 + Checklist + R23)</t>
        </is>
      </c>
      <c r="B24" s="20" t="inlineStr">
        <is>
          <t>310,412 / 86,006 (corrected from stale 310,000 / 85,594)</t>
        </is>
      </c>
      <c r="C24" s="20" t="inlineStr">
        <is>
          <t>Closed 21 Jun 2026 (scope-b full refresh)</t>
        </is>
      </c>
      <c r="D24" s="20" t="inlineStr">
        <is>
          <t>R22 (3 current re-keys); Checklist (turbo/flush → 86,006, valve flip, anchor 308,248 retained); R23 (49 edits: current+derived refresh, valve/injector/pump → Udel, exhaust-spec 0.35-0.45, timing-belt contradiction corrected @273,023, fuel-filter done, Denso→Bosch). Events 308,248/308,500 preserved. Concordance rows 2/12 (310,000/85,594) SUPERSEDED. R8 deferred (TA-003/004 + new TA-030 glow-plug).</t>
        </is>
      </c>
      <c r="E24" s="20" t="inlineStr">
        <is>
          <t>Resolved (R22/Checklist/R23); R8 open</t>
        </is>
      </c>
    </row>
    <row r="25">
      <c r="A25" s="20" t="inlineStr">
        <is>
          <t>Glow-plug provenance + diesel-tank remediation (Udel Jun 2026)</t>
        </is>
      </c>
      <c r="B25" s="20" t="inlineStr">
        <is>
          <t>Glow: tested Mar 2025 / R&amp;R Jun 2026 (not re-tested). Tank: dropped/flushed Jun 2026 (Udel)</t>
        </is>
      </c>
      <c r="C25" s="20" t="inlineStr">
        <is>
          <t>Corrected 21 Jun 2026 (live-ledger reversal)</t>
        </is>
      </c>
      <c r="D25" s="20" t="inlineStr">
        <is>
          <t>Initial glow conclusion ('Udel didn't do glow plugs; correct R8 to Mar 2025') REVERSED by the live R8 314-rec ledger ('incl. glow plugs' + diesel-tank flush). R23/Facts harmonised; R8 glow-row refinement → R8 session. Vindicates fetch-before-conclude: pre-Udel /mnt/project ledger copy (289 rows) lacked the Udel rows.</t>
        </is>
      </c>
      <c r="E25" s="20" t="inlineStr">
        <is>
          <t>Resolved (R23/Facts); R8 open</t>
        </is>
      </c>
    </row>
    <row r="26">
      <c r="A26" s="20" t="inlineStr">
        <is>
          <t>R8 dedicated pass (TA-003/004/030)</t>
        </is>
      </c>
      <c r="B26" s="20" t="inlineStr">
        <is>
          <t>310,412 / 86,006 / 38,227</t>
        </is>
      </c>
      <c r="C26" s="20" t="inlineStr">
        <is>
          <t>Closed 21 Jun 2026</t>
        </is>
      </c>
      <c r="D26" s="20" t="inlineStr">
        <is>
          <t>R8 (last odo-stale file) reconciled: header+tile -&gt; 310,412 (Udel last service 19 Jun); turbo/coolant derived -&gt; 86,006, drain-hose -&gt; 38,227; glow L1043 + L778 harmonised to 'tested Mar 2025 (DupDiesel) / R&amp;R Jun 2026 (Udel), not re-tested'. 11 surgical edits, div 223/223, JS OK, JSON ledger byte-identical (314 / R810,872), events preserved. T4 odometer batch CLOSED library-wide; monthly-odometer standing process takes over.</t>
        </is>
      </c>
      <c r="E26" s="20" t="inlineStr">
        <is>
          <t>Resolved</t>
        </is>
      </c>
    </row>
    <row r="27">
      <c r="A27" s="20" t="inlineStr">
        <is>
          <t>R34 brake page (TA-011) Tier-1 + torque-gap</t>
        </is>
      </c>
      <c r="B27" s="20" t="inlineStr">
        <is>
          <t>Field-level (owner) — no torque tables</t>
        </is>
      </c>
      <c r="C27" s="20" t="inlineStr">
        <is>
          <t>Closed 21 Jun 2026</t>
        </is>
      </c>
      <c r="D27" s="20" t="inlineStr">
        <is>
          <t>RM0584E brake module (RM899E) located/validated as Tier-1 source; owner-uploaded PDF was 1HZ engine manual (wrong scope, retained for engine re-verify). LSPV Tier-1-confirmed; fluid/bleed content sound + correctly hedged. Owner chose field-level: no torque tables added. No R34 edit. Closes last Tranche-2 dangling item.</t>
        </is>
      </c>
      <c r="E27" s="20" t="inlineStr">
        <is>
          <t>Resolved</t>
        </is>
      </c>
    </row>
    <row r="28">
      <c r="A28" s="20" t="inlineStr">
        <is>
          <t>T4-remainder Session A (R31 Upgrade Assessment; R1/R2 clean)</t>
        </is>
      </c>
      <c r="B28" s="20" t="inlineStr">
        <is>
          <t>0.6 bar (~8.7 psi) boost; 86,006 km on turbo recon; intercooler ~260,000 km</t>
        </is>
      </c>
      <c r="C28" s="20" t="inlineStr">
        <is>
          <t>Closed 22 Jun 2026 (TA-032); TA-033 R31-portion done</t>
        </is>
      </c>
      <c r="D28" s="20" t="inlineStr">
        <is>
          <t>R31: 0.5→0.6 bar (~8.7 psi) ×4 incl. ~7 psi; 'confirmed Jun 2026' on lead turbo card. Turbo-recon derived ~84,000→86,006 ×3 (table/prose/meta). Intercooler derived km-since ~254,000→~260,000 ×3 (table/prose/meta) — scope finding beyond brief, owner-approved (310,412−50,637=259,775). Masthead Last Updated Apr→Jun 2026. Events preserved (cambelt 273,023, recon 224,406, exhaust 309,968); costs preserved (R8,500; R48,000–R89,000). Snyman forward-looking refs flagged — owner chose LEAVE (fixed booked-assessment milestone, not de-preferenced). R1 &amp; R2 audited CLEAN, no edits: R1 payload/kerb already ~-framed (TA-002-gated), valve item generic advisory, no boost; R2 0.15=CSS alpha + glow-plug=operational (both false positives). div R31 140/140, R1 190/190, R2 301/301; JS OK. index.html Last Updated → 22 Jun 2026; sw.js no bump.</t>
        </is>
      </c>
      <c r="E28" s="20" t="inlineStr">
        <is>
          <t>TA-032 Resolved; TA-033 partial (R11/R28 pending)</t>
        </is>
      </c>
    </row>
    <row r="29">
      <c r="A29" s="20" t="inlineStr">
        <is>
          <t>R31 owner content decisions (Session A, same pass)</t>
        </is>
      </c>
      <c r="B29" s="20" t="inlineStr">
        <is>
          <t>Owner-directed upgrade-status changes (not TA/LX findings)</t>
        </is>
      </c>
      <c r="C29" s="20" t="inlineStr">
        <is>
          <t>Applied 22 Jun 2026</t>
        </is>
      </c>
      <c r="D29" s="20" t="inlineStr">
        <is>
          <t>Five S3 'Evaluate' items reallocated on owner instruction: free-flow exhaust → S2 Already Done (complete); boost gauge, high-output alternator, ARP head studs, high-flow airbox → S4 Not Required (reclassify, not delete — preserves decision trail). Rationale: boost gauge not fitting (boost confirmed 0.6 bar Jun 2026, Udel); alternator stock 80A retained (expert-reviewed, neutral); ARP studs not necessary (Udel confirmed, block test passed); airbox decided against (stock retained, neutral). Matrix bands + card sections both updated; exhaust card boost-gauge tail reworded to 'confirmed 0.6 bar'. div 136/136 (count dropped from leaner rewritten cards; balanced), JS OK. CROSS-FILE FLAGS for later: R8/R21 still say 'verify if boost gauge installed' (Facts already says none to be fitted) — harmonise; R23/R5/R7 alternator load-test refs still valid (stock-unit adequacy), confirm they don't recommend the 120-140A upgrade.</t>
        </is>
      </c>
      <c r="E29" s="20" t="inlineStr">
        <is>
          <t>(content-decision memo, not TA/LX)</t>
        </is>
      </c>
    </row>
    <row r="30">
      <c r="A30" s="20" t="inlineStr">
        <is>
          <t>T4-remainder Session B (R11 Packing Optimisation)</t>
        </is>
      </c>
      <c r="B30" s="20" t="inlineStr">
        <is>
          <t>Current odometer 310,412 km</t>
        </is>
      </c>
      <c r="C30" s="20" t="inlineStr">
        <is>
          <t>Closed 22 Jun 2026 (R11 portion of TA-033)</t>
        </is>
      </c>
      <c r="D30" s="20" t="inlineStr">
        <is>
          <t>R11 (84.8 KB, weighbridge-gated): single Type-A edit — vehicle-spec Odometer ~310,000→310,412 km. Payload/WEIGHT section left provisional per TA-002 gate (factory kerb ~2,160 → revised ~2,287 → payload ~563; load ~659 of 563 = ~96 kg over GVM) — already hedged ('estimates; weigh at public weighbridge' ×3). No payload reconciliation. Turbo @ 38,429 km + intercooler @ 50,637 km = install events, preserved. No boost-pressure figure present → R11 not in boost sweep. Tyres 265/70R16 current, correct. div 96/96, 2 scripts OK. TA-033 now R11+R31 done; R28 masthead (Session C) outstanding.</t>
        </is>
      </c>
      <c r="E30" s="20" t="inlineStr">
        <is>
          <t>TA-033 R11+R31 done; R28 pending (Session C)</t>
        </is>
      </c>
    </row>
    <row r="31">
      <c r="A31" s="20" t="inlineStr">
        <is>
          <t>T4-remainder Session C (R28 Driving Conditions) — TRANCHE COMPLETE</t>
        </is>
      </c>
      <c r="B31" s="20" t="inlineStr">
        <is>
          <t>Current odometer 310,412 km</t>
        </is>
      </c>
      <c r="C31" s="20" t="inlineStr">
        <is>
          <t>Closed 22 Jun 2026 (TA-033 fully closed)</t>
        </is>
      </c>
      <c r="D31" s="20" t="inlineStr">
        <is>
          <t>R28 (104 KB): masthead ~310,000→310,412 (Type-A); payload '551 kg'→'~551 kg' (provisional framing, owner-approved, TA-002 gate intact); '(Andrea)' personal name dropped from Powerflow exhaust ref (line 778); line 583 '35 PSI (2.4 bar)'→'2.4 bar (35 PSI)' (bar-primary consistency). CORRECTION: pressure tables are two-column bar-primary + psi-secondary — COMPLIANT (my initial bar-only/psi-primary reads were both wrong). Glow plugs ×4 all operational. div 215/215, JS OK. T4-remainder (R1/R2/R11/R28/R31) COMPLETE.</t>
        </is>
      </c>
      <c r="E31" s="20" t="inlineStr">
        <is>
          <t>TA-033 CLOSED; T4-remainder tranche complete</t>
        </is>
      </c>
    </row>
    <row r="32">
      <c r="A32" s="20" t="inlineStr">
        <is>
          <t>Boost-figure library survey (owner-initiated) + incidental stale-figure sweep</t>
        </is>
      </c>
      <c r="B32" s="20" t="inlineStr">
        <is>
          <t>Boost 0.6 bar (~8.7 psi) canonical</t>
        </is>
      </c>
      <c r="C32" s="20" t="inlineStr">
        <is>
          <t>Survey done 22 Jun 2026; edits PENDING owner decisions</t>
        </is>
      </c>
      <c r="D32" s="20" t="inlineStr">
        <is>
          <t>R11 vehicle-overview turbo row: added 0.6 bar (~8.7 psi). LIBRARY SURVEY (34 docs): NO stale '0.5 bar' anywhere (correction-sweep empty). Already 0.6 bar: R8, R21 (reference, consistent). BOOST-ADD candidates (spec/overview/masthead, no boost shown): R1, R13, R19, R23, R24, R27. DISCREPANCY: R18 line 890 'Max boost ~75 kPa / 0.75 bar' exceeds R21's 7-10 psi envelope + contradicts confirmed 0.6 bar — ruling needed. INCIDENTAL stale found: current-odo mastheads ~310,000 in R19/R20/R27/R34 (→310,412); contextual ~310,000 approximations in R18/R25/R27/R20 (round, judgement); stale derived turbo-km ~80,600 in R23/R20 (→~86,006); turbo install-km INCONSISTENT 35,000 (R18) vs 38,429 (R1/R11) — canonical ruling needed. R8 310,000 = milestone labels, PRESERVE. NOTHING EDITED beyond R11; awaiting owner decisions before sweep.</t>
        </is>
      </c>
      <c r="E32" s="20" t="inlineStr">
        <is>
          <t>New open items: boost-adds; R18 0.75; odo-propagation; turbo install-km</t>
        </is>
      </c>
    </row>
    <row r="33">
      <c r="A33" s="20" t="inlineStr">
        <is>
          <t>R18 turbo-card discrepancy fix + R11 boost trim (owner-directed)</t>
        </is>
      </c>
      <c r="B33" s="20" t="inlineStr">
        <is>
          <t>Boost 0.6 bar (bar-only); turbo install 38,429 km</t>
        </is>
      </c>
      <c r="C33" s="20" t="inlineStr">
        <is>
          <t>Applied 22 Jun 2026</t>
        </is>
      </c>
      <c r="D33" s="20" t="inlineStr">
        <is>
          <t>R18 (93.9 KB) turbo sensor card: title 'Turbo — SAC Low-Boost'→'Turbo'; 'Max boost pressure ~75 kPa / 0.75 bar'→'Boost pressure 0.6 bar' (resolves 0.75-vs-confirmed-0.6 discrepancy); 'Reconditioned by SAC Turbos'→'Installed by SAC'; 'Installed at (approx km) ~35,000 km'→'Installed at 38,429 km' (canonical install km per owner). R11 vehicle-overview trimmed '0.6 bar (~8.7 psi)'→'0.6 bar' (bar-only house style). div R18 511/511, R11 96/96, JS OK. REMAINING boost-adds (R1/R13/R19/R23/R24/R27) + odo-propagation chartered as separate passes.</t>
        </is>
      </c>
      <c r="E33" s="20" t="inlineStr">
        <is>
          <t>R18 discrepancy resolved; install-km harmonised to 38,429</t>
        </is>
      </c>
    </row>
    <row r="34">
      <c r="A34" s="20" t="inlineStr">
        <is>
          <t>Boost-add + odo/derived sweep — §5 step 1 (R1 + R13 + R34)</t>
        </is>
      </c>
      <c r="B34" s="20" t="inlineStr">
        <is>
          <t>Boost 0.6 bar (bar-only); current-odo 310,412 km</t>
        </is>
      </c>
      <c r="C34" s="20" t="inlineStr">
        <is>
          <t>In progress — opened 22 Jun 2026 (TA-034 boost-add, TA-035 odo/derived); both Open</t>
        </is>
      </c>
      <c r="D34" s="20" t="inlineStr">
        <is>
          <t>R1 (29.8KB): row-val -&gt; '0.6 bar · 118 kW / 373 Nm' (&amp;#183; entity). R13 (58.8KB): drivetrain line -&gt; '...with SAC turbo at 0.6 bar'; masthead Last Updated 24 Mar-&gt;22 Jun 2026. R34 (36.8KB): masthead ~310,000-&gt;310,412 km (sole occurrence; tilde dropped, middots untouched); no last-updated field (footer 'Compiled June 2026' = provenance, preserved). R1 has NO date element (nothing to bump). NEW STANDING RULE (owner, 22 Jun): always bump a doc's own masthead 'Last updated' to session date when worked on. Validation: div R1 190/190, R13 104/104, R34 84/84; JS OK; no stale ~310,000 / 0.5 bar in scope; events/costs preserved. index.html already 22 Jun (no-op); sw.js no bump.</t>
        </is>
      </c>
      <c r="E34" s="20" t="inlineStr">
        <is>
          <t>TA-034 + TA-035 Open (session 1 of multi-file passes)</t>
        </is>
      </c>
    </row>
    <row r="35">
      <c r="A35" s="20" t="inlineStr">
        <is>
          <t>§5 step 2 (R19 AT Tyre Review) — boost-add + odo, single session</t>
        </is>
      </c>
      <c r="B35" s="20" t="inlineStr">
        <is>
          <t>Boost 0.6 bar (bar-only); current odometer 310,412 km</t>
        </is>
      </c>
      <c r="C35" s="20" t="inlineStr">
        <is>
          <t>Applied 22 Jun 2026</t>
        </is>
      </c>
      <c r="D35" s="20" t="inlineStr">
        <is>
          <t>R19 (96.7 KB, own session per &gt;80KB rule): two surgical edits in one fetch. Vehicle overview (l.316): 'SAC low-boost turbo · GVM 2,850 kg · ~310,000 km' -&gt; 'SAC low-boost turbo (0.6 bar) · GVM 2,850 kg · 310,412 km' (boost-add bar-only + current-odo refresh, tilde dropped). Masthead (l.296): Last Updated 06 Jun -&gt; 22 Jun 2026 (standing rule). Line 324 'low-boost turbo' prose left (not spec/overview/masthead). div 674/674 held, 1 script JS OK, stale sweep clean (no surviving ~310,000 / no 0.5-0.75 bar), events/install-km(38,429)/costs untouched. index.html already 22 Jun (no-op); sw.js no bump. TA-034 + TA-035 R19 portions done, both remain Open.</t>
        </is>
      </c>
      <c r="E35" s="20" t="inlineStr">
        <is>
          <t>TA-034/TA-035 R19 done; both Open (R23/R24/R27 + R20/R23/R27 pending)</t>
        </is>
      </c>
    </row>
    <row r="36">
      <c r="A36" s="20" t="inlineStr">
        <is>
          <t>§5 step 3 (R23 Pre-Trip Prep Protocol) — boost-add + derived-km, single session</t>
        </is>
      </c>
      <c r="B36" s="20" t="inlineStr">
        <is>
          <t>Boost 0.6 bar (bar-only); derived turbo-km ~86,006 km</t>
        </is>
      </c>
      <c r="C36" s="20" t="inlineStr">
        <is>
          <t>Applied 22 Jun 2026</t>
        </is>
      </c>
      <c r="D36" s="20" t="inlineStr">
        <is>
          <t>R23 (90.6 KB, own session per &gt;80KB rule): three surgical edits in one fetch, all owner-approved. Masthead std-vehicle bar (l.448): 'SAC Low-Boost Turbo · R151F 5-Speed · GVM 2,850 kg · April 2026' -&gt; 'SAC Low-Boost Turbo (0.6 bar) · R151F 5-Speed · GVM 2,850 kg · June 2026' (boost-add bar-only + masthead month-year date bump Apr-&gt;Jun, standing rule; harmonises w/ footer). Footer spec bar (l.1595): 'SAC Low-Boost Turbo · ~310,412 km · June 2026' -&gt; 'SAC Low-Boost Turbo (0.6 bar) · ~310,412 km · June 2026' (boost-add bar-only, owner-approved 22 Jun). Derived turbo-km (l.1324): reconned Aug 2023 224,406 km '(~80,600 km ago)' -&gt; '(~86,006 km ago)' (lone straggler brought into line w/ ~86,006 already at 891/892; event 224,406 preserved). Current odo 310,412 already present (768/769/891/892/1595) - no odo edit. Coolant-cap 0.88 bar/13 psi (l.913) untouched (not boost). div 235/235 held, 2 scripts JS OK, stale sweep clean (no surviving ~80,600 / no 0.5-0.75 bar; ~86,006 x3, 224,406 x1), events/install-km(38,429)/costs untouched. index.html already 22 Jun (no-op); sw.js no bump. NOTE: R19 step-2 confirmed committed at tip (earlier main-raw mismatch was CDN propagation lag; SHA-pinned fetch verified). TA-034 + TA-035 R23 portions done, both remain Open.</t>
        </is>
      </c>
      <c r="E36" s="20" t="inlineStr">
        <is>
          <t>TA-034/TA-035 R23 done; both Open (R24/R27 + R20/R27 pending)</t>
        </is>
      </c>
    </row>
    <row r="37">
      <c r="A37" s="20" t="inlineStr">
        <is>
          <t>R23 triage table — valve-clearance verdict correction (owner-spotted)</t>
        </is>
      </c>
      <c r="B37" s="20" t="inlineStr">
        <is>
          <t>Valve clearances set Jun 2026 @ 310,412 km — IN INTERVAL</t>
        </is>
      </c>
      <c r="C37" s="20" t="inlineStr">
        <is>
          <t>Applied 22 Jun 2026</t>
        </is>
      </c>
      <c r="D37" s="20" t="inlineStr">
        <is>
          <t>R23 Triage Decision Table (l.585): valve-clearances Verdict 'CHECK &amp; SET' (verdict-replace, action-required styling) -&gt; 'IN INTERVAL' (verdict-leave). Stale verdict predating the Jun 2026 adjustment — clearances were set by Udel @ 310,412 km (12 shims, first recorded adjustment), 0 km ago. Now consistent with (a) its own Action cell 'Completed Jun 2026 — re-check ~40,000 km' and (b) the parallel Fuel-injectors row (same Jun 2026 / 310,412 km / freshly done, already IN INTERVAL). Action cell unchanged (already correct). div 235/235 held, 2 scripts JS OK, boost edits (l.448/1324/1595) preserved. Owner-spotted, out-of-original-R23-brief; executed under owner direction 22 Jun. Logged as Concordance note (not raised as TA) — internal-consistency fix, no external source. index.html 22 Jun (no-op); sw.js no bump.</t>
        </is>
      </c>
      <c r="E37" s="20" t="inlineStr">
        <is>
          <t>Triage verdict stale-state corrected; consistent w/ injectors row</t>
        </is>
      </c>
    </row>
    <row r="38">
      <c r="A38" s="20" t="inlineStr">
        <is>
          <t>§5 step 4 (R24 Fuel System &amp; Diesel Quality Guide) — boost-add only, single session</t>
        </is>
      </c>
      <c r="B38" s="20" t="inlineStr">
        <is>
          <t>Boost 0.6 bar (bar-only)</t>
        </is>
      </c>
      <c r="C38" s="20" t="inlineStr">
        <is>
          <t>Applied 22 Jun 2026</t>
        </is>
      </c>
      <c r="D38" s="20" t="inlineStr">
        <is>
          <t>R24 (96.4 KB, own session per &gt;80KB rule): single owner-chartered surgical edit in one fetch (SHA-pinned; main-raw matched, no CDN lag today). Masthead mh-vehicle bar (l.373): 'SAC Low-Boost Turbo · 145L Main' -&gt; 'SAC Low-Boost Turbo (0.6 bar) · 145L Main' (boost-add bar-only). 'SAC Low-Boost Turbo' appears exactly ONCE in the file — this masthead bar is the only turbo reference; no spec/overview/footer turbo line to harmonise. R24 carries NO date element anywhere (no masthead date / 'Last Updated' / 'Compiled' / footer date) -&gt; standing date-bump rule is a no-op (same as R1); no date field invented. Pure ADD, not a correction: pre-edit sweep 0.6/0.5/0.75 bar all = 0. No odo/derived/event figures in file (310,412 / ~310,000 / 80,600 / 86,006 / 224,406 / 38,429 all = 0) — none introduced. div 484/484 held, 1 script JS OK, size +10 B (ASCII ' (0.6 bar)'). index.html already 22 Jun (no-op); sw.js no bump (existing-file edit). TA-034 R24 portion done; R24 out of TA-035 scope (no odo/derived). TA-034 remains Open (R27 last).</t>
        </is>
      </c>
      <c r="E38" s="20" t="inlineStr">
        <is>
          <t>TA-034 R24 done; Open (R27 pending). TA-035 N/A to R24 (no odo/derived)</t>
        </is>
      </c>
    </row>
    <row r="39">
      <c r="A39" s="20" t="inlineStr">
        <is>
          <t>§5 step 5 (R27 Bush Mechanics Field Guide) — combined masthead boost-add + odo</t>
        </is>
      </c>
      <c r="B39" s="20" t="inlineStr">
        <is>
          <t>Boost 0.6 bar (bar-only); current-odo 310,412 km</t>
        </is>
      </c>
      <c r="C39" s="20" t="inlineStr">
        <is>
          <t>Applied 23 Jun 2026</t>
        </is>
      </c>
      <c r="D39" s="20" t="inlineStr">
        <is>
          <t>R27 (127.0 KB, own session per &gt;80KB rule): single combined masthead str_replace (l.339 mh-vehicle) — boost-add (0.6 bar, bar-only) + odo ~310,000-&gt;310,412 (exact, tilde dropped). div 815/815; 1 script JS OK. Contextual L828/L830 ~310,000 left per policy. Events 202,066 / 310,412 (valve-set) / 275,000 preserved. No date element so no date bump. No derived turbo-km in file.</t>
        </is>
      </c>
      <c r="E39" s="20" t="inlineStr">
        <is>
          <t>TA-034 R27 done — boost-add sweep COMPLETE (R1/R13/R19/R23/R24/R27); TA-034 CLOSED. TA-035 R27 masthead odo done; stays Open (R20 pending).</t>
        </is>
      </c>
    </row>
    <row r="40" s="21">
      <c r="A40" s="20" t="inlineStr">
        <is>
          <t>§5 step 6 (R20 Seal &amp; Gasket Atlas) — masthead odo + date + derived turbo-km, single session</t>
        </is>
      </c>
      <c r="B40" s="20" t="inlineStr">
        <is>
          <t>current-odo 310,412 km; derived turbo-km ~86,006 km</t>
        </is>
      </c>
      <c r="C40" s="20" t="inlineStr">
        <is>
          <t>Applied 23 Jun 2026</t>
        </is>
      </c>
      <c r="D40" s="20" t="inlineStr">
        <is>
          <t>R20 (131.5 KB, own session per &gt;80KB rule): three text-only surgical edits in one SHA-pinned fetch (main-raw matched, no CDN lag). Edit 1 masthead l.317 (ms-vehicle): odo ~310,000-&gt;310,412 (exact, tilde dropped) folded with masthead date 04 June-&gt;23 June 2026. Edit 2 derived turbo-km l.943: ~80,600-&gt;~86,006 (tilde kept, delta 310,412-224,406); recon event 224,406 preserved in same sentence. Edit 3 footer l.2045: Updated April-&gt;June 2026 per owner D1 (masthead/footer date-element alignment). div 1304/1304; 1 script JS OK; size 134,650-&gt;134,648 B (-2). Contextual l.348/l.367 ~310,000 left per TA-035 policy. No boost in file (0.6 bar = 0; none added — R20 outside boost sweep). index.html date already current; sw.js no bump (existing-file edit).</t>
        </is>
      </c>
      <c r="E40" s="20" t="inlineStr">
        <is>
          <t>TA-035 CLOSED — odo/derived sweep complete (R20 was the last odo/derived file). Open now = 1 (TA-002 weighbridge, owner-gated).</t>
        </is>
      </c>
    </row>
    <row r="41" s="21">
      <c r="A41" s="20" t="inlineStr">
        <is>
          <t>Governance — working-papers register de-duplication (owner item 1, 23 Jun 2026)</t>
        </is>
      </c>
      <c r="B41" s="20" t="inlineStr">
        <is>
          <t>Single ledger of record = LC76_Library_Audit_WorkingPapers.xlsx</t>
        </is>
      </c>
      <c r="C41" s="20" t="inlineStr">
        <is>
          <t>Applied 23 Jun 2026</t>
        </is>
      </c>
      <c r="D41" s="20" t="inlineStr">
        <is>
          <t>Two physical xlsx copies on GitHub: LC76_Library_Audit_WorkingPapers.xlsx (canonical renamed name — referenced by Library_Register.txt, Project_Instructions.txt, index.html) and LC76_Phase2_WorkingPapers.xlsx (47,352 B, orphaned pre-rename name, byte-identical TA/LX content, ZERO inbound references). The audit report's 23-Jun note already recorded the 'renamed from Phase 2' action; the old copy lingered on GitHub (add-new without rm-old). Resolution: nominate Library_Audit_WorkingPapers.xlsx as sole ledger of record; owner to git rm LC76_Phase2_WorkingPapers.xlsx (no reference churn — nothing points to it). No sw.js/index/Register change (audit artifacts unprecached; Phase2 unreferenced). Summary count-formula baseline (11) preserved; TA Open=1/Closed=30 unchanged.</t>
        </is>
      </c>
      <c r="E41" s="20" t="inlineStr">
        <is>
          <t>Governance hygiene — single ledger of record; removes divergence risk</t>
        </is>
      </c>
    </row>
    <row r="42" s="21">
      <c r="A42" s="20" t="inlineStr">
        <is>
          <t>Design Guidelines v1.2 -&gt; v1.4 promotion + mobile sticky-bg fix (F13 / LX-001/002/003), single session</t>
        </is>
      </c>
      <c r="B42" s="20" t="inlineStr">
        <is>
          <t>DG v1.4 (June 2026); sticky-nav-unit background + ::before slab</t>
        </is>
      </c>
      <c r="C42" s="20" t="inlineStr">
        <is>
          <t>Applied 23 Jun 2026</t>
        </is>
      </c>
      <c r="D42" s="20" t="inlineStr">
        <is>
          <t>LC76_Design_Guidelines.html (52.0 KB): owner-confirmed promotion on live v1.2 base (v1.3 draft superseded). Screen CSS: added ;background:var(--ink) to .sticky-nav-unit + new .sticky-nav-unit::before{content:'';position:absolute;left:0;right:0;bottom:100%;height:100vh;background:var(--ink)} — pattern lifted verbatim from confirmed-working R32 (identical R26/R33). Print CSS: added .sticky-nav-unit::before{content:none}. Version bumped v1.2-&gt;v1.4 / April-&gt;June 2026 in title, masthead std-sub, footer. Pattern documented in S8 PWA safe-area row + S9 Do-list. Currency refresh: masthead '...+ Calculators · 22 documents' -&gt; 'Reference docs R1–R36 + 6 Calculators'; footer + comparison-table 'R1–R23 + 5 Calculators' -&gt; 'R1–R36 + 6 Calculators' (Fuel Log Analyser added). Demo masthead 'April 2026' left as worked-example content. div 133/133; 1 script JS OK. No sw.js bump (content edit); index.html already 23 Jun 2026.</t>
        </is>
      </c>
      <c r="E42" s="20" t="inlineStr">
        <is>
          <t>F13 RESOLVED; LX-001/LX-002/LX-003 CLOSED</t>
        </is>
      </c>
    </row>
    <row r="43" s="21">
      <c r="A43" s="20" t="inlineStr">
        <is>
          <t>Injection-pump architecture + canonical naming (1HZ) — R4 corrected (TA-036)</t>
        </is>
      </c>
      <c r="B43" s="20" t="inlineStr">
        <is>
          <t>Bosch VE (Denso-built) rotary distributor pump; single plunger; boost-compensated on turbo (per ledger/R24/R27; Facts names "Bosch VE")</t>
        </is>
      </c>
      <c r="C43" s="20" t="inlineStr">
        <is>
          <t>Applied 24 Jun 2026 (R4)</t>
        </is>
      </c>
      <c r="D43" s="20" t="inlineStr">
        <is>
          <t>LC76_Engine_Training.html (227 KB): comp-glyph/comp-name/comp-code/desc-para/components-table corrected from "Bosch/Denso" + "inline 6-element/rack" to "Bosch VE (Denso-built)" rotary distributor (single plunger; governor+control collar). Edit 5 (comp-code l.984) added beyond brief to prevent internal contradiction. Denso retained once (first-mention comp-name) per naming rule. Turbo/boost-compensator sentence + "six delivery valves" (l.1042, correct for VE) preserved. div 939/942 pre-existing source imbalance unchanged (flagged). No date element (Rev 3.0 footer untouched). R24/R27 (+R20/R31 per Step 5) pending; TA-036 scope flagged for owner reconciliation. Summary count-formula baseline (11) preserved; integrity None.</t>
        </is>
      </c>
      <c r="E43" s="20" t="inlineStr">
        <is>
          <t>1HZ pump architecture corrected (was factually wrong: inline 6-element); R4 done, status OPEN pending sibling files</t>
        </is>
      </c>
    </row>
    <row r="44">
      <c r="A44" s="20" t="inlineStr">
        <is>
          <t>Injection-pump canonical naming (1HZ) — R24 corrected (TA-036)</t>
        </is>
      </c>
      <c r="B44" s="20" t="inlineStr">
        <is>
          <t>Bosch VE (Denso-built) rotary distributor pump (full form first mention only, 'Bosch VE' thereafter); per ledger/Udel Jun 2026 invoice + Project Instructions</t>
        </is>
      </c>
      <c r="C44" s="20" t="inlineStr">
        <is>
          <t>Applied 24 Jun 2026 (R24)</t>
        </is>
      </c>
      <c r="D44" s="20" t="inlineStr">
        <is>
          <t>LC76_Fuel_System_Guide.html (96,459-&gt;97,125 B): 6 'Denso VE'/'Denso' mentions -&gt; 'Bosch VE' (masthead carries full 'Bosch VE (Denso-built)'); Denso reconciled 6-&gt;1, Bosch VE=7. Field note added (Jun 2026 FI overhaul @310,412 km, R36,729.31, 12 valve clearances first recorded) before 'Regional Fuel Quality' sub-head; generic supplier. div 484-&gt;485 balanced; JS OK. index.html card-line Denso-&gt;Bosch VE (Denso=0); date already 24 Jun 2026; no sw.js bump. Integrity None; count-formula baseline (11) preserved.</t>
        </is>
      </c>
      <c r="E44" s="20" t="inlineStr">
        <is>
          <t>R24 pump naming corrected; R4+R24 done, TA-036 status OPEN pending R27 (+ R20/R31 scope reconciliation)</t>
        </is>
      </c>
    </row>
    <row r="45">
      <c r="A45" s="20" t="inlineStr">
        <is>
          <t>Injection-pump canonical naming (1HZ) — R27 corrected (TA-036)</t>
        </is>
      </c>
      <c r="B45" s="20" t="inlineStr">
        <is>
          <t>Bosch VE (Denso-built) rotary injection pump (full form first mention only, 'Bosch VE' thereafter); per ledger/Project Instructions</t>
        </is>
      </c>
      <c r="C45" s="20" t="inlineStr">
        <is>
          <t>Applied 24 Jun 2026 (R27)</t>
        </is>
      </c>
      <c r="D45" s="20" t="inlineStr">
        <is>
          <t>LC76_Bush_Mechanics_Guide.html (130,045-&gt;130,066 B): 3 edits — first-mention 'Denso VE'-&gt;'Bosch VE (Denso-built)' (l.1022); not-to-do note 'Denso VE'-&gt;'Bosch VE' (l.1314); forward-looking action item 'Denso-trained ... specialist'-&gt;'diesel fuel-injection specialist (VE-pump experience)' (l.1027, owner-confirmed genericisation per supplier-naming discipline). Denso reconciled 3-&gt;1; Bosch VE=2. div 815/815; JS OK; +21 B. No date element; index already 24 Jun 2026; no sw.js bump. Integrity None; count-formula baseline (11) preserved.</t>
        </is>
      </c>
      <c r="E45" s="20" t="inlineStr">
        <is>
          <t>R27 pump naming corrected; R4+R24+R27 done. TA-036 scope amended to 5 files (owner 24 Jun 2026: +R20/R31); status OPEN pending R20/R31.</t>
        </is>
      </c>
    </row>
    <row r="46">
      <c r="A46" s="20" t="inlineStr">
        <is>
          <t>Injection-pump canonical naming (1HZ) — R31 corrected (TA-036)</t>
        </is>
      </c>
      <c r="B46" s="20" t="inlineStr">
        <is>
          <t>Bosch VE (Denso-built) injection pump (full form first mention only, 'Bosch VE' thereafter); per ledger/Project Instructions</t>
        </is>
      </c>
      <c r="C46" s="20" t="inlineStr">
        <is>
          <t>Applied 24 Jun 2026 (R31)</t>
        </is>
      </c>
      <c r="D46" s="20" t="inlineStr">
        <is>
          <t>LC76_Upgrade_Assessment.html (43,763-&gt;43,777 B): 2 edits — first-mention 'Denso VE'-&gt;'Bosch VE (Denso-built)' (l.285); ECU-tuning para 'Denso VE'-&gt;'Bosch VE' (l.408). Denso reconciled 2-&gt;1; Bosch VE=2. div 136/136; JS OK; +14 B. Masthead 'June 2026' date-bump no-op (same month); index already 24 Jun 2026; no sw.js bump. Out-of-scope flag: 'Current calibration: Mar 2025' (l.285/408) potentially stale post-Jun-2026 pump R&amp;R — flagged to owner. Integrity None; count-formula baseline (11) preserved.</t>
        </is>
      </c>
      <c r="E46" s="20" t="inlineStr">
        <is>
          <t>R31 pump naming corrected; R4+R24+R27+R31 done. TA-036 status OPEN pending R20 (final file).</t>
        </is>
      </c>
    </row>
    <row r="47">
      <c r="A47" s="20" t="inlineStr">
        <is>
          <t>Injection-pump canonical naming (1HZ) — R20 (Seal &amp; Gasket Atlas)</t>
        </is>
      </c>
      <c r="B47" s="20" t="inlineStr">
        <is>
          <t>Bosch VE (Denso-built) rotary injection pump</t>
        </is>
      </c>
      <c r="C47" s="20" t="inlineStr">
        <is>
          <t>Verified 24 Jun 2026 (R20)</t>
        </is>
      </c>
      <c r="D47" s="20" t="inlineStr">
        <is>
          <t>LC76_Seal_Gasket_Atlas.html — canonical form already present in live repo at HEAD 9b229c3 (l.740); naming edit committed outside a logged session. Denso=1 / Bosch VE=1; masthead 24 Jun 2026.</t>
        </is>
      </c>
      <c r="E47" s="20" t="inlineStr">
        <is>
          <t>R20 pump naming verified canonical — completes 5/5 TA-036 scope (R4/R24/R27/R31/R20). TA-036 CLOSED.</t>
        </is>
      </c>
    </row>
    <row r="48">
      <c r="A48" s="20" t="inlineStr">
        <is>
          <t>Injection-pump calibration currency — R31 (Upgrade Assessment)</t>
        </is>
      </c>
      <c r="B48" s="20" t="inlineStr">
        <is>
          <t>Bench-recalibrated by Udel, Jun 2026; not dyno re-tested. Last dyno verification Mar 2025 (118 kW / 373 Nm).</t>
        </is>
      </c>
      <c r="C48" s="20" t="inlineStr">
        <is>
          <t>Aligned 24 Jun 2026 (R31)</t>
        </is>
      </c>
      <c r="D48" s="20" t="inlineStr">
        <is>
          <t>LC76_Upgrade_Assessment.html — 6 refs reworded (L179/185/199/263/283/285/408) from 'Mar 2025 current/dyno-tuned' to Udel Jun 2026 bench-recal + Mar 2025 as last dyno figure. Resolves the TA-036 out-of-scope currency flag (post-TA-030 pump R&amp;R). Turbo rated-output figures (118 kW/373 Nm) at L177/201/226/422 left as-is by design.</t>
        </is>
      </c>
      <c r="E48" s="20" t="inlineStr">
        <is>
          <t>R31 calibration currency aligned to TA-030 pump R&amp;R. Out-of-scope TA-036 flag CLOSED.</t>
        </is>
      </c>
    </row>
    <row r="49">
      <c r="A49" s="20" t="inlineStr">
        <is>
          <t>Injection-pump naming integrity — R21 (Turbo Operations) LDA card</t>
        </is>
      </c>
      <c r="B49" s="20" t="inlineStr">
        <is>
          <t>Bosch VE (Denso-built) rotary injection pump</t>
        </is>
      </c>
      <c r="C49" s="20" t="inlineStr">
        <is>
          <t>Verified 24 Jun 2026 (R21)</t>
        </is>
      </c>
      <c r="D49" s="20" t="inlineStr">
        <is>
          <t>New 'How the boost compensator (LDA) works' card added to R21. Owner-supplied source text used wrong form 'Denso VE' (x1) and inline-pump phrasing 'increasing the plunger's stroke'; both corrected on integration to canonical Bosch VE (Denso-built) and to VE control-collar / spill-timing wording. Post-insert: Denso VE=0, Bosch VE (Denso-built)=2.</t>
        </is>
      </c>
      <c r="E49" s="20" t="inlineStr">
        <is>
          <t>TA-036 canonical naming actively upheld on incoming content; no defect introduced.</t>
        </is>
      </c>
    </row>
    <row r="50">
      <c r="A50" s="20" t="inlineStr">
        <is>
          <t>Fitted electrical stack propagation (post-install audit Jul 2026)</t>
        </is>
      </c>
      <c r="B50" s="20" t="inlineStr">
        <is>
          <t>Enertec Power+ 210Ah LiFePO4 + Victron Orion Smart 50A (~40A cap) / MultiPlus 12/500 / SmartSolar 100/30 / SmartShunt 500A / BatteryProtect 65A / Safety Hub 150; Willard 650 crank</t>
        </is>
      </c>
      <c r="C50" s="20" t="inlineStr">
        <is>
          <t>DIVERGENT — 9 docs stale (audit F18–F27)</t>
        </is>
      </c>
      <c r="D50" s="20" t="inlineStr">
        <is>
          <t>Stale-as-current: R32 (Cyrix×8, BM2000×8, DEFA×5), R23 (pre-quote spec + broken R6 link), R2, R11, R27, R16, R35, Service Checklist, R1 (DEFA row), LiFePO4 Calculator (R33 link, 300Ah/23A defaults). Converted &amp; verified: R5, R7, R26, R30, index, Facts, register, sw.js v9. Exempt-historical: R8 ledger, Facts HISTORICAL block.</t>
        </is>
      </c>
      <c r="E50" s="20" t="inlineStr">
        <is>
          <t>F18–F27; remediation RS-1–RS-5</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L40"/>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20" min="1" max="1"/>
    <col width="30" customWidth="1" style="20" min="2" max="2"/>
    <col width="12" customWidth="1" style="20" min="3" max="3"/>
    <col width="24" customWidth="1" style="20" min="4" max="4"/>
    <col width="40" customWidth="1" style="20" min="5" max="5"/>
    <col width="6" customWidth="1" style="20" min="6" max="6"/>
    <col width="18" customWidth="1" style="20" min="7" max="7"/>
    <col width="26" customWidth="1" style="20" min="8" max="8"/>
    <col width="6" customWidth="1" style="20" min="9" max="9"/>
    <col width="22" customWidth="1" style="20" min="10" max="10"/>
    <col width="42" customWidth="1" style="20" min="11" max="11"/>
    <col width="8" customWidth="1" style="20" min="12" max="12"/>
  </cols>
  <sheetData>
    <row r="1" ht="15" customHeight="1" s="21">
      <c r="A1" s="31" t="inlineStr">
        <is>
          <t>ID</t>
        </is>
      </c>
      <c r="B1" s="31" t="inlineStr">
        <is>
          <t>File</t>
        </is>
      </c>
      <c r="C1" s="31" t="inlineStr">
        <is>
          <t>R#</t>
        </is>
      </c>
      <c r="D1" s="31" t="inlineStr">
        <is>
          <t>Location</t>
        </is>
      </c>
      <c r="E1" s="31" t="inlineStr">
        <is>
          <t>Assertion</t>
        </is>
      </c>
      <c r="F1" s="31" t="inlineStr">
        <is>
          <t>Risk</t>
        </is>
      </c>
      <c r="G1" s="31" t="inlineStr">
        <is>
          <t>Internal</t>
        </is>
      </c>
      <c r="H1" s="31" t="inlineStr">
        <is>
          <t>External source</t>
        </is>
      </c>
      <c r="I1" s="31" t="inlineStr">
        <is>
          <t>Tier</t>
        </is>
      </c>
      <c r="J1" s="31" t="inlineStr">
        <is>
          <t>Verdict</t>
        </is>
      </c>
      <c r="K1" s="31" t="inlineStr">
        <is>
          <t>Action</t>
        </is>
      </c>
      <c r="L1" s="31" t="inlineStr">
        <is>
          <t>Status</t>
        </is>
      </c>
    </row>
    <row r="2" ht="23.25" customHeight="1" s="21">
      <c r="A2" s="32" t="inlineStr">
        <is>
          <t>TA-000</t>
        </is>
      </c>
      <c r="B2" s="32" t="inlineStr">
        <is>
          <t>LC76_Engine_Training.html via FSM</t>
        </is>
      </c>
      <c r="C2" s="32" t="inlineStr">
        <is>
          <t>R4</t>
        </is>
      </c>
      <c r="D2" s="32" t="inlineStr">
        <is>
          <t>Valve clearance VALUE</t>
        </is>
      </c>
      <c r="E2" s="32" t="inlineStr">
        <is>
          <t>Intake 0.15–0.25 / Exhaust 0.35–0.45 mm (cold)</t>
        </is>
      </c>
      <c r="F2" s="35" t="inlineStr">
        <is>
          <t>M</t>
        </is>
      </c>
      <c r="G2" s="32" t="inlineStr">
        <is>
          <t>Facts holds interval only</t>
        </is>
      </c>
      <c r="H2" s="32" t="inlineStr">
        <is>
          <t>FSM RM617E SS-3 p73</t>
        </is>
      </c>
      <c r="I2" s="32" t="inlineStr">
        <is>
          <t>1</t>
        </is>
      </c>
      <c r="J2" s="33" t="inlineStr">
        <is>
          <t>Confirmed</t>
        </is>
      </c>
      <c r="K2" s="32" t="inlineStr">
        <is>
          <t>Use as canonical spec; ensure R4/R18 cite it verbatim</t>
        </is>
      </c>
      <c r="L2" s="32" t="inlineStr">
        <is>
          <t>Closed</t>
        </is>
      </c>
    </row>
    <row r="3" ht="39" customHeight="1" s="21">
      <c r="A3" s="32" t="inlineStr">
        <is>
          <t>TA-001</t>
        </is>
      </c>
      <c r="B3" s="32" t="inlineStr">
        <is>
          <t>LC76_Engine_Training.html</t>
        </is>
      </c>
      <c r="C3" s="32" t="inlineStr">
        <is>
          <t>R4</t>
        </is>
      </c>
      <c r="D3" s="32" t="inlineStr">
        <is>
          <t>Valve adjustment method &amp; field difficulty</t>
        </is>
      </c>
      <c r="E3" s="32" t="inlineStr">
        <is>
          <t>Claims 'locknut &amp; adjuster screw on each rocker arm' + 'easy field job, basic tools'</t>
        </is>
      </c>
      <c r="F3" s="34" t="inlineStr">
        <is>
          <t>S</t>
        </is>
      </c>
      <c r="G3" s="32" t="inlineStr">
        <is>
          <t>Contradicts FSM</t>
        </is>
      </c>
      <c r="H3" s="32" t="inlineStr">
        <is>
          <t>FSM RM617E SS-3 p73 (shim chart 2.35–3.30mm)</t>
        </is>
      </c>
      <c r="I3" s="32" t="inlineStr">
        <is>
          <t>1</t>
        </is>
      </c>
      <c r="J3" s="36" t="inlineStr">
        <is>
          <t>CONFIRMED (R8 valve table: 6 intakes 0.08→shims)</t>
        </is>
      </c>
      <c r="K3" s="32" t="inlineStr">
        <is>
          <t>Correct to shim-type adjustment; reclassify field difficulty (SST/cam removal). Confirm vs EM valve-clearance procedure page. — CONFIRMED: Udel Jun 2026 adjusted valve clearances with NEW SHIMS (real-world proof the 1HZ is shim-type). R4's 'locknut &amp; adjuster screw on rocker arm' is wrong; fix in R4 pass. | CLOSED 21 Jun 2026 (R4 dedicated session): folded into TA-024. Method corrected in R4 core card — 'locknut &amp; adjuster screw on rocker arm' replaced with shim-over-bucket description; field difficulty reclassified from 'easy field job' to workshop job (cam-out, SST). Subsumed by TA-024 full pass.</t>
        </is>
      </c>
      <c r="L3" s="32" t="inlineStr">
        <is>
          <t>Closed</t>
        </is>
      </c>
    </row>
    <row r="4" ht="34.5" customHeight="1" s="21">
      <c r="A4" s="32" t="inlineStr">
        <is>
          <t>TA-002</t>
        </is>
      </c>
      <c r="B4" s="32" t="inlineStr">
        <is>
          <t>(cross-file)</t>
        </is>
      </c>
      <c r="C4" s="32" t="inlineStr">
        <is>
          <t>R1,R11,R25,R27,R30</t>
        </is>
      </c>
      <c r="D4" s="32" t="inlineStr">
        <is>
          <t>Kerb/payload</t>
        </is>
      </c>
      <c r="E4" s="32" t="inlineStr">
        <is>
          <t>Spread ~2,160 vs ~2,299 kerb; ~551 vs ~690 payload</t>
        </is>
      </c>
      <c r="F4" s="34" t="inlineStr">
        <is>
          <t>HIGH</t>
        </is>
      </c>
      <c r="G4" s="32" t="inlineStr">
        <is>
          <t>Divergent; provisional</t>
        </is>
      </c>
      <c r="H4" s="32" t="inlineStr">
        <is>
          <t>Weighbridge (owner action) — pending</t>
        </is>
      </c>
      <c r="I4" s="32" t="inlineStr">
        <is>
          <t>—</t>
        </is>
      </c>
      <c r="J4" s="34" t="inlineStr">
        <is>
          <t>Unreconciled (=audit F10)</t>
        </is>
      </c>
      <c r="K4" s="32" t="inlineStr">
        <is>
          <t>Weighbridge loaded vehicle (per-axle+GCM); reconcile to one figure; propagate; flag provisional meanwhile</t>
        </is>
      </c>
      <c r="L4" s="32" t="inlineStr">
        <is>
          <t>Open</t>
        </is>
      </c>
    </row>
    <row r="5" ht="23.25" customHeight="1" s="21">
      <c r="A5" s="32" t="inlineStr">
        <is>
          <t>TA-003</t>
        </is>
      </c>
      <c r="B5" s="32" t="inlineStr">
        <is>
          <t>(cross-file)</t>
        </is>
      </c>
      <c r="C5" s="32" t="inlineStr">
        <is>
          <t>R8,R8s,R25</t>
        </is>
      </c>
      <c r="D5" s="32" t="inlineStr">
        <is>
          <t>Km on turbo (derived)</t>
        </is>
      </c>
      <c r="E5" s="32" t="inlineStr">
        <is>
          <t>84,278 / ~86,000 vs canonical 85,594</t>
        </is>
      </c>
      <c r="F5" s="35" t="inlineStr">
        <is>
          <t>M</t>
        </is>
      </c>
      <c r="G5" s="32" t="inlineStr">
        <is>
          <t>Divergent / stale base</t>
        </is>
      </c>
      <c r="H5" s="32" t="inlineStr">
        <is>
          <t>Facts §2 (310,000 base)</t>
        </is>
      </c>
      <c r="I5" s="32" t="inlineStr">
        <is>
          <t>internal</t>
        </is>
      </c>
      <c r="J5" s="32" t="inlineStr">
        <is>
          <t>Divergent</t>
        </is>
      </c>
      <c r="K5" s="32" t="inlineStr">
        <is>
          <t>Service Checklist re-keyed to 85,594 (turbo + same-base coolant). R8 turbo-km DEFERRED to its T4 dedicated pass.  | [R8 T4 pass 21 Jun 2026] R8 turbo/coolant derived km recomputed against canonical 310,412 base: turbo oil-feed/shaft-play 84,278-&gt;86,006, coolant-flush 84,094/~84,000-&gt;86,006 (=310,412-224,406). Supersedes stale 85,594 (310,000 base). CLOSED.</t>
        </is>
      </c>
      <c r="L5" s="35" t="inlineStr">
        <is>
          <t>Closed</t>
        </is>
      </c>
    </row>
    <row r="6" ht="23.25" customHeight="1" s="21">
      <c r="A6" s="32" t="inlineStr">
        <is>
          <t>TA-004</t>
        </is>
      </c>
      <c r="B6" s="32" t="inlineStr">
        <is>
          <t>LC76_Service_History.html</t>
        </is>
      </c>
      <c r="C6" s="32" t="inlineStr">
        <is>
          <t>R8</t>
        </is>
      </c>
      <c r="D6" s="32" t="inlineStr">
        <is>
          <t>'Current Service Status' odo</t>
        </is>
      </c>
      <c r="E6" s="32" t="inlineStr">
        <is>
          <t>Shows 308,248 / 308,500 as current; valve line 'current 308,500'</t>
        </is>
      </c>
      <c r="F6" s="35" t="inlineStr">
        <is>
          <t>M</t>
        </is>
      </c>
      <c r="G6" s="32" t="inlineStr">
        <is>
          <t>Lags canonical</t>
        </is>
      </c>
      <c r="H6" s="32" t="inlineStr">
        <is>
          <t>Facts §2 = 310,000</t>
        </is>
      </c>
      <c r="I6" s="32" t="inlineStr">
        <is>
          <t>internal</t>
        </is>
      </c>
      <c r="J6" s="32" t="inlineStr">
        <is>
          <t>Stale current</t>
        </is>
      </c>
      <c r="K6" s="32" t="inlineStr">
        <is>
          <t>Reconcile in R8 dedicated pass (T4); update current-odo refs only, preserve event mileages  | [R8 T4 pass 21 Jun 2026] Stated-current refs reconciled: 'Current Service Status' header 308,248-&gt;310,412; Last-Service tile 308,248/14-04 -&gt; 310,412/19-06 (Udel = latest ledger service, owner-approved). 34 body event-mileage refs (308,248/308,500) PRESERVED; JSON ledger byte-identical (314 rec / R810,872 tie held); div 223/223, JS OK. CLOSED.  | [Owner revision 21 Jun 2026] Tile relabelled 'Last Routine Service' and reverted to 308,248/14-04 (last routine interval service; Udel overhaul is not routine); 'Current Service Status' header odo suffix removed entirely (de-coupled from any odometer to avoid implying a service @310,412). TA-004 remains CLOSED — stated-current reconciliation stands.</t>
        </is>
      </c>
      <c r="L6" s="32" t="inlineStr">
        <is>
          <t>Closed</t>
        </is>
      </c>
    </row>
    <row r="7" ht="23.25" customHeight="1" s="21">
      <c r="A7" s="32" t="inlineStr">
        <is>
          <t>TA-005</t>
        </is>
      </c>
      <c r="B7" s="32" t="inlineStr">
        <is>
          <t>LC76_Facts.txt</t>
        </is>
      </c>
      <c r="C7" s="32" t="inlineStr">
        <is>
          <t>—</t>
        </is>
      </c>
      <c r="D7" s="32" t="inlineStr">
        <is>
          <t>Front suspension part numbers</t>
        </is>
      </c>
      <c r="E7" s="32" t="inlineStr">
        <is>
          <t>OME 859 coils / N181 shocks absent from Facts §1</t>
        </is>
      </c>
      <c r="F7" s="37" t="inlineStr">
        <is>
          <t>E</t>
        </is>
      </c>
      <c r="G7" s="32" t="inlineStr">
        <is>
          <t>Gap</t>
        </is>
      </c>
      <c r="H7" s="32" t="inlineStr">
        <is>
          <t>Project Instructions / vendor</t>
        </is>
      </c>
      <c r="I7" s="32" t="inlineStr">
        <is>
          <t>2</t>
        </is>
      </c>
      <c r="J7" s="33" t="inlineStr">
        <is>
          <t>Resolved</t>
        </is>
      </c>
      <c r="K7" s="32" t="inlineStr">
        <is>
          <t>Front+rear OME parts added to Facts §1. Part-number external verification folded into R25 pass.</t>
        </is>
      </c>
      <c r="L7" s="36" t="inlineStr">
        <is>
          <t>Closed</t>
        </is>
      </c>
    </row>
    <row r="8" ht="15" customHeight="1" s="21">
      <c r="A8" s="20" t="inlineStr">
        <is>
          <t>TA-006</t>
        </is>
      </c>
      <c r="B8" s="20" t="inlineStr">
        <is>
          <t>LC76_Suspension_Steering_Guide.html</t>
        </is>
      </c>
      <c r="C8" s="20" t="inlineStr">
        <is>
          <t>R25</t>
        </is>
      </c>
      <c r="D8" s="20" t="inlineStr">
        <is>
          <t>Front-shock service age (derived)</t>
        </is>
      </c>
      <c r="E8" s="20" t="inlineStr">
        <is>
          <t>'At 307,000 km ... ~86,000 km' on N181 — stale current base (canonical 310,000 → ~89,000)</t>
        </is>
      </c>
      <c r="F8" s="38" t="inlineStr">
        <is>
          <t>M</t>
        </is>
      </c>
      <c r="G8" s="20" t="inlineStr">
        <is>
          <t>Stale current odo (3 spots: L446/498/721)</t>
        </is>
      </c>
      <c r="H8" s="20" t="inlineStr">
        <is>
          <t>Facts §2 = 310,000 base</t>
        </is>
      </c>
      <c r="I8" s="20" t="inlineStr">
        <is>
          <t>internal</t>
        </is>
      </c>
      <c r="J8" s="39" t="inlineStr">
        <is>
          <t>Resolved</t>
        </is>
      </c>
      <c r="K8" s="20" t="inlineStr">
        <is>
          <t>Re-key 307,000→310,000 and ~86,000→~89,000 in R25 pass (T3); preserve fit event 221,000 km (Apr 2023) — DONE: re-keyed 307,000→310,000 (L446) and ~86,000→~89,000 (L498, L721). Fit event (Apr 2023 @ 221,000 km) preserved. Div balance 556/556, JS clean.</t>
        </is>
      </c>
      <c r="L8" s="27" t="inlineStr">
        <is>
          <t>Closed</t>
        </is>
      </c>
    </row>
    <row r="9" ht="15" customHeight="1" s="21">
      <c r="A9" s="20" t="inlineStr">
        <is>
          <t>TA-007</t>
        </is>
      </c>
      <c r="B9" s="20" t="inlineStr">
        <is>
          <t>LC76_Tyre_Pressure_Calculator.html</t>
        </is>
      </c>
      <c r="C9" s="20" t="inlineStr">
        <is>
          <t>Calc</t>
        </is>
      </c>
      <c r="D9" s="20" t="inlineStr">
        <is>
          <t>Payload model / unit basis</t>
        </is>
      </c>
      <c r="E9" s="20" t="inlineStr">
        <is>
          <t>(a) engine is PSI-native, bar derived &amp; quantised to whole-PSI; house style is bar-primary. (b) comment says 45/55 axle split but code applies front:rear 1.0:1.5 (=40/60) — code is defensibly rear-biased for overland loading; comment understates it. (c) payload ceiling 551 + GVM-warn&gt;500 hard-coded to the LATER kerb estimate.</t>
        </is>
      </c>
      <c r="F9" s="27" t="inlineStr">
        <is>
          <t>A</t>
        </is>
      </c>
      <c r="G9" s="20" t="inlineStr">
        <is>
          <t>Reviewed in full</t>
        </is>
      </c>
      <c r="H9" s="20" t="inlineStr">
        <is>
          <t>Maxxis LT265/70R16 Load E (80psi/1449kg max)</t>
        </is>
      </c>
      <c r="I9" s="20" t="inlineStr">
        <is>
          <t>2</t>
        </is>
      </c>
      <c r="J9" s="39" t="inlineStr">
        <is>
          <t>Sound — advisory only</t>
        </is>
      </c>
      <c r="K9" s="20" t="inlineStr">
        <is>
          <t>(a)/(b) optional clarity edits; (c) revisit ceiling/thresholds post-weighbridge (ties TA-002). State confirmed variant (LT/Load E/80psi) as basis.</t>
        </is>
      </c>
      <c r="L9" s="20" t="inlineStr">
        <is>
          <t>Open (advisory)</t>
        </is>
      </c>
    </row>
    <row r="10" ht="15" customHeight="1" s="21">
      <c r="A10" s="20" t="inlineStr">
        <is>
          <t>TA-008</t>
        </is>
      </c>
      <c r="B10" s="20" t="inlineStr">
        <is>
          <t>LC76_Fuel_Range_Calculator.html + LC76_Trip_Fuel_Planner.html</t>
        </is>
      </c>
      <c r="C10" s="20" t="inlineStr">
        <is>
          <t>Calc</t>
        </is>
      </c>
      <c r="D10" s="20" t="inlineStr">
        <is>
          <t>Consumption model</t>
        </is>
      </c>
      <c r="E10" s="20" t="inlineStr">
        <is>
          <t>Maths sound: range=fuel×kmL, used=dist/kmL correct; caps 145/40/185 = Facts §9; reserve handled; (1−Σpenalties)&gt;0 across slider range. Advisory: (a) AC label '−15%' but code applies ÷1.15 (=−13%); (b) no explicit floor guard on (1−Σpenalties); (c) Trip omits temp/AC/weather that Fuel Range includes — same inputs → different economy; (d) payload divisor differs (Trip /690 vs Tyre calc 551) = F10 spread baked in; (e) terrain→speed map non-monotonic (1.45→12 vs 1.55→30km/h).</t>
        </is>
      </c>
      <c r="F10" s="27" t="inlineStr">
        <is>
          <t>A</t>
        </is>
      </c>
      <c r="G10" s="20" t="inlineStr">
        <is>
          <t>Reviewed in full</t>
        </is>
      </c>
      <c r="H10" s="20" t="inlineStr">
        <is>
          <t>Dimensional check + Facts §9</t>
        </is>
      </c>
      <c r="I10" s="20" t="inlineStr">
        <is>
          <t>internal</t>
        </is>
      </c>
      <c r="J10" s="39" t="inlineStr">
        <is>
          <t>Sound — advisory</t>
        </is>
      </c>
      <c r="K10" s="20" t="inlineStr">
        <is>
          <t>(a) align label/divisor; (b) add Math.max floor; (c) align the two consumption models or document; (d) reconcile payload constant post-weighbridge (TA-002); (e) verify terrain labels.</t>
        </is>
      </c>
      <c r="L10" s="20" t="inlineStr">
        <is>
          <t>Open (advisory)</t>
        </is>
      </c>
    </row>
    <row r="11" ht="15" customHeight="1" s="21">
      <c r="A11" s="20" t="inlineStr">
        <is>
          <t>TA-009</t>
        </is>
      </c>
      <c r="B11" s="20" t="inlineStr">
        <is>
          <t>LC76_Fuel_Log_Analyser.html + LC76_Water_Budget_Calculator.html</t>
        </is>
      </c>
      <c r="C11" s="20" t="inlineStr">
        <is>
          <t>Calc</t>
        </is>
      </c>
      <c r="D11" s="20" t="inlineStr">
        <is>
          <t>Stats / budget maths</t>
        </is>
      </c>
      <c r="E11" s="20" t="inlineStr">
        <is>
          <t>Both sound. Fuel Log: correct full-to-full economy (k=dist/Σlitres), median/mean/pctile correct, non-finite guarded, price-regime segmentation appropriate. Water Budget: avail=current−reserve, autonomy=avail/daily, need=daily×resupply correct; div-by-zero guarded. Advisory: Fuel Log clips economy to 3–11 km/L (drops legitimate extreme sand intervals); Water Budget gap compares need to CURRENT (incl. reserve) while autonomy excludes reserve — mild inconsistency.</t>
        </is>
      </c>
      <c r="F11" s="27" t="inlineStr">
        <is>
          <t>A</t>
        </is>
      </c>
      <c r="G11" s="20" t="inlineStr">
        <is>
          <t>Reviewed in full</t>
        </is>
      </c>
      <c r="H11" s="20" t="inlineStr">
        <is>
          <t>Dimensional check</t>
        </is>
      </c>
      <c r="I11" s="20" t="inlineStr">
        <is>
          <t>internal</t>
        </is>
      </c>
      <c r="J11" s="39" t="inlineStr">
        <is>
          <t>Sound — advisory</t>
        </is>
      </c>
      <c r="K11" s="20" t="inlineStr">
        <is>
          <t>Optional: widen/annotate Fuel Log clip; align gap metric to reserve-respecting basis.</t>
        </is>
      </c>
      <c r="L11" s="20" t="inlineStr">
        <is>
          <t>Open (advisory)</t>
        </is>
      </c>
    </row>
    <row r="12" ht="15" customHeight="1" s="21">
      <c r="A12" s="20" t="inlineStr">
        <is>
          <t>TA-010</t>
        </is>
      </c>
      <c r="B12" s="20" t="inlineStr">
        <is>
          <t>LC76_LiFePO4_Calculator.html</t>
        </is>
      </c>
      <c r="C12" s="20" t="inlineStr">
        <is>
          <t>Calc</t>
        </is>
      </c>
      <c r="D12" s="20" t="inlineStr">
        <is>
          <t>Ah power-budget model</t>
        </is>
      </c>
      <c r="E12" s="20" t="inlineStr">
        <is>
          <t>Sound: usable=cap×DoD×eff, avail=cap×(soc−minSoc)×eff, solAh=W×psh×eff/12, altAh=driveH×A×0.88, net &amp; socEnd clamped, div-by-zero guarded, breakdown labels match formulas. Advisory: (a) default cap 300 Ah ≠ planned 200 Ah (Facts §8); (b) DC-DC 2h×30A×0.88=52.8 Ah vs Facts '~55 Ah/2h' (0.88 derate on an already-rated 30A output); (c) solar ÷12V nominal overstates Ah ~6% vs 12.8V LiFePO4.</t>
        </is>
      </c>
      <c r="F12" s="27" t="inlineStr">
        <is>
          <t>A</t>
        </is>
      </c>
      <c r="G12" s="20" t="inlineStr">
        <is>
          <t>Reviewed in full</t>
        </is>
      </c>
      <c r="H12" s="20" t="inlineStr">
        <is>
          <t>Facts §8 (planned LiFePO4 spec)</t>
        </is>
      </c>
      <c r="I12" s="20" t="inlineStr">
        <is>
          <t>2</t>
        </is>
      </c>
      <c r="J12" s="39" t="inlineStr">
        <is>
          <t>Sound — advisory</t>
        </is>
      </c>
      <c r="K12" s="20" t="inlineStr">
        <is>
          <t>(a) default to 200 Ah to match planned bank; (b)/(c) optional precision tweaks. Subject overlaps deferred electrical set — maths verified, spec ties to Facts §8.</t>
        </is>
      </c>
      <c r="L12" s="20" t="inlineStr">
        <is>
          <t>Open (advisory)</t>
        </is>
      </c>
    </row>
    <row r="13" ht="15" customHeight="1" s="21">
      <c r="A13" s="20" t="inlineStr">
        <is>
          <t>TA-011</t>
        </is>
      </c>
      <c r="B13" s="20" t="inlineStr">
        <is>
          <t>LC76_Brake_System_Guide.html</t>
        </is>
      </c>
      <c r="C13" s="20" t="inlineStr">
        <is>
          <t>R34</t>
        </is>
      </c>
      <c r="D13" s="20" t="inlineStr">
        <is>
          <t>Fluid spec · bleed sequence · LSPV</t>
        </is>
      </c>
      <c r="E13" s="20" t="inlineStr">
        <is>
          <t>Fluid: factory DOT 3, DOT 4 compatible (higher BP), DOT 5 silicone incompatible — CORRECT. Bleed: furthest-from-master principle correct; exact L/R order + LSPV position responsibly deferred to FSM (field practice RR→LR→RF→LF→LSPV; FSM commonly omits LSPV from formal procedure). LSPV correctly identified. GAP: no brake torque figures (caliper/wheel/bleeder) — confirm intentional vs to-fill.</t>
        </is>
      </c>
      <c r="F13" s="40" t="inlineStr">
        <is>
          <t>S</t>
        </is>
      </c>
      <c r="G13" s="20" t="inlineStr">
        <is>
          <t>Consistent w/ Facts §4 (DOT grade absent there)</t>
        </is>
      </c>
      <c r="H13" s="20" t="inlineStr">
        <is>
          <t>Contemporary Toyota / FMVSS 116 (Tier-2); 70-series field practice (Tier-3)</t>
        </is>
      </c>
      <c r="I13" s="20" t="inlineStr">
        <is>
          <t>2</t>
        </is>
      </c>
      <c r="J13" s="39" t="inlineStr">
        <is>
          <t>Sound — no error; Tier-1 lock pending</t>
        </is>
      </c>
      <c r="K13" s="20" t="inlineStr">
        <is>
          <t>Owner: confirm torque-gap intent. Provide RM730E brake-section deep-link URL to lock fluid/bleed at Tier-1.  | [21 Jun 2026] Tier-1 brake source located &amp; validated: RM0584E brake module (RM899E supplement) via toyotamanuals.gitlab.io — LSPV page pulled (70-series FZJ/HZJ 71-79: rear-axle load settings, No.2 shackle set-length 78mm nom / 72-84mm range non-Venezuela, nut torque 12.5 N·m, front-vs-rear pressure-check tables). Owner-uploaded PDF was the 1HZ ENGINE manual (RM617E-family) — wrong scope for brakes (useful for engine re-verify instead). R34 audit: fluid spec (DOT3 factory / DOT4 running, never DOT5) sound; bleed order RR-&gt;LR-&gt;LSPV-&gt;RF-&gt;LF stated &amp; correctly hedged 'confirm vs manual'; LSPV field-level correct; NO torque values present (= the 'torque-gap'). PENDING: owner torque-gap intent (add Tier-1 brake torques vs keep field-level), then lock fluid+bleed at Tier-1 + propose R34 change-spec.  | [CLOSED 21 Jun 2026] Owner decision: keep R34 field-level — NO torque tables (torque-gap intentional). Remaining content verified: LSPV Tier-1-confirmed (RM0584E/RM899E page); fluid spec DOT3 factory/DOT4 running/never-DOT5 correct for 70-series; bleed order RR-&gt;LR-&gt;LSPV-&gt;RF-&gt;LF is standard furthest-first and correctly directs reader to confirm precise sequence vs FSM (right field-level posture). No Tier-1 spec-lock edit made — would conflict with field-level decision. R34 brake page CLOSED.</t>
        </is>
      </c>
      <c r="L13" s="20" t="inlineStr">
        <is>
          <t>Closed</t>
        </is>
      </c>
    </row>
    <row r="14" ht="15" customHeight="1" s="21">
      <c r="A14" s="20" t="inlineStr">
        <is>
          <t>TA-012</t>
        </is>
      </c>
      <c r="B14" s="20" t="inlineStr">
        <is>
          <t>LC76_Health_Hygiene_Guide.html</t>
        </is>
      </c>
      <c r="C14" s="20" t="inlineStr">
        <is>
          <t>R17</t>
        </is>
      </c>
      <c r="D14" s="20" t="inlineStr">
        <is>
          <t>Malaria · TD · food/water · hygiene</t>
        </is>
      </c>
      <c r="E14" s="20" t="inlineStr">
        <is>
          <t>All verified vs CDC/WHO standard: Malarone (1–2d before, daily, 7d after), Doxycycline (28d after, upright 30min), Mefloquine (weekly, 2wk before, psych contraindication); DEET 30%, permethrin; P. falciparum 24–48h; TD self-limiting with ORS, loperamide symptom-only, cipro/azithro for bloody/febrile; 2-hour food rule; tumbu-fly precaution. Defers to treating doctor.</t>
        </is>
      </c>
      <c r="F14" s="40" t="inlineStr">
        <is>
          <t>S</t>
        </is>
      </c>
      <c r="G14" s="20" t="inlineStr">
        <is>
          <t>Consistent</t>
        </is>
      </c>
      <c r="H14" s="20" t="inlineStr">
        <is>
          <t>CDC Yellow Book / WHO malaria prophylaxis standard</t>
        </is>
      </c>
      <c r="I14" s="20" t="inlineStr">
        <is>
          <t>2</t>
        </is>
      </c>
      <c r="J14" s="39" t="inlineStr">
        <is>
          <t>Sound — confirmed</t>
        </is>
      </c>
      <c r="K14" s="20" t="inlineStr">
        <is>
          <t>None. Medically accurate. No edit needed.</t>
        </is>
      </c>
      <c r="L14" s="27" t="inlineStr">
        <is>
          <t>Closed</t>
        </is>
      </c>
    </row>
    <row r="15" ht="15" customHeight="1" s="21">
      <c r="A15" s="20" t="inlineStr">
        <is>
          <t>TA-013</t>
        </is>
      </c>
      <c r="B15" s="20" t="inlineStr">
        <is>
          <t>LC76_Emergency_Procedures_Guide.html</t>
        </is>
      </c>
      <c r="C15" s="20" t="inlineStr">
        <is>
          <t>R10 §5</t>
        </is>
      </c>
      <c r="D15" s="20" t="inlineStr">
        <is>
          <t>Snakebite protocol</t>
        </is>
      </c>
      <c r="E15" s="20" t="inlineStr">
        <is>
          <t>CONFIRMED correct vs African Snakebite Institute: PIB for neurotoxic (mamba/cobra) but NEVER for cytotoxic (adder/spitting cobra) — the critical differential, right. Boomslang haemotoxic + SEPARATE antivenom, right. Spitting-cobra eye irrigation 15–20min, right. Death 30min–8hr, right. Green Mamba 'neurotoxic+cytotoxic/PIB yes' matches ASI. DO-NOT list (no cut/suck/tourniquet/ice/alcohol) correct.</t>
        </is>
      </c>
      <c r="F15" s="40" t="inlineStr">
        <is>
          <t>S</t>
        </is>
      </c>
      <c r="G15" s="20" t="inlineStr">
        <is>
          <t>Consistent</t>
        </is>
      </c>
      <c r="H15" s="20" t="inlineStr">
        <is>
          <t>African Snakebite Institute (Tier-1/2 SA authority)</t>
        </is>
      </c>
      <c r="I15" s="20" t="inlineStr">
        <is>
          <t>1</t>
        </is>
      </c>
      <c r="J15" s="39" t="inlineStr">
        <is>
          <t>Sound — confirmed; additive enhancements only</t>
        </is>
      </c>
      <c r="K15" s="20" t="inlineStr">
        <is>
          <t>Optional adds (not corrections): stiletto/burrowing-asp (no effective FA, antivenom ineffective); note CPR not needed but rescue-breathing is; ideal PIB 50–70 mmHg. NOTE: R10 is large (1661 ln) — §5 done; remaining sections (medical/water/environmental/comms-evac) to complete in R10 dedicated pass.</t>
        </is>
      </c>
      <c r="L15" s="27" t="inlineStr">
        <is>
          <t>Closed (§5)</t>
        </is>
      </c>
    </row>
    <row r="16" ht="15" customHeight="1" s="21">
      <c r="A16" s="20" t="inlineStr">
        <is>
          <t>TA-014</t>
        </is>
      </c>
      <c r="B16" s="20" t="inlineStr">
        <is>
          <t>LC76_Wildlife_Camp_Safety_Guide.html</t>
        </is>
      </c>
      <c r="C16" s="20" t="inlineStr">
        <is>
          <t>R36</t>
        </is>
      </c>
      <c r="D16" s="20" t="inlineStr">
        <is>
          <t>Dangerous-game encounter doctrine</t>
        </is>
      </c>
      <c r="E16" s="20" t="inlineStr">
        <is>
          <t>All 8 species verified vs recognised field guidance: hippo never-between-it-and-water; buffalo dagga-bulls/solid-cover; elephant mock(ears spread/noisy/stops) vs real(ears back/trunk curled/silent/head down) — CONFIRMED across multiple sources; lion never-run/never-crouch; leopard leave-an-exit; black-rhino break-the-line/guided-only; croc routine-task ambush; hyena secure-kit. Encounter card consistent. GPS policy embedded + doc is coordinate-clean.</t>
        </is>
      </c>
      <c r="F16" s="40" t="inlineStr">
        <is>
          <t>S</t>
        </is>
      </c>
      <c r="G16" s="20" t="inlineStr">
        <is>
          <t>Consistent w/ country profiles</t>
        </is>
      </c>
      <c r="H16" s="20" t="inlineStr">
        <is>
          <t>Recognised dangerous-game field guidance (FGASA-referenced; News24/Green Safaris/SANParks-style)</t>
        </is>
      </c>
      <c r="I16" s="20" t="inlineStr">
        <is>
          <t>2</t>
        </is>
      </c>
      <c r="J16" s="39" t="inlineStr">
        <is>
          <t>Sound — confirmed</t>
        </is>
      </c>
      <c r="K16" s="20" t="inlineStr">
        <is>
          <t>Optional add (not correction): note charge-sign reading isn't infallible — give space regardless; elephant poor eyesight → dodge sideways like the rhino tip.</t>
        </is>
      </c>
      <c r="L16" s="27" t="inlineStr">
        <is>
          <t>Closed</t>
        </is>
      </c>
    </row>
    <row r="17" ht="15" customHeight="1" s="21">
      <c r="A17" s="20" t="inlineStr">
        <is>
          <t>TA-015</t>
        </is>
      </c>
      <c r="B17" s="20" t="inlineStr">
        <is>
          <t>LC76_Vehicle_Recovery_Guide.html</t>
        </is>
      </c>
      <c r="C17" s="20" t="inlineStr">
        <is>
          <t>R9</t>
        </is>
      </c>
      <c r="D17" s="20" t="inlineStr">
        <is>
          <t>Recovery equipment ratings &amp; doctrine</t>
        </is>
      </c>
      <c r="E17" s="20" t="inlineStr">
        <is>
          <t>CONFIRMED vs recognised recovery standards: snatch/kinetic strap 8,000 kg MBS = 2.8× GVM (2–3× rule ✓); winch 9,500–12,000 lb (≥1.5× GVM ✓); soft shackle 14,000 kg MBS &gt; strap; bow shackle 4.75t WLL (&gt; 3.5t min); tow-ball prohibition emphatic &amp; accurate (documented fatalities); dampener, rated-points-only, straight-line, bystanders 1.5× away, gloves all correct. Ratings key off GVM 2,850 (plate) — NO F10 dependency.</t>
        </is>
      </c>
      <c r="F17" s="40" t="inlineStr">
        <is>
          <t>S</t>
        </is>
      </c>
      <c r="G17" s="20" t="inlineStr">
        <is>
          <t>Consistent (uses GVM, not kerb)</t>
        </is>
      </c>
      <c r="H17" s="20" t="inlineStr">
        <is>
          <t>RACQ/4x4 Australia/AfMA/CarsGuide/Saber recovery standards</t>
        </is>
      </c>
      <c r="I17" s="20" t="inlineStr">
        <is>
          <t>2</t>
        </is>
      </c>
      <c r="J17" s="39" t="inlineStr">
        <is>
          <t>Sound — confirmed</t>
        </is>
      </c>
      <c r="K17" s="20" t="inlineStr">
        <is>
          <t>Optional add (not correction): never knot two straps (≈50% strength loss) — join with rated/soft shackle.</t>
        </is>
      </c>
      <c r="L17" s="27" t="inlineStr">
        <is>
          <t>Closed</t>
        </is>
      </c>
    </row>
    <row r="18" ht="15" customHeight="1" s="21">
      <c r="A18" s="20" t="inlineStr">
        <is>
          <t>TA-016</t>
        </is>
      </c>
      <c r="B18" s="20" t="inlineStr">
        <is>
          <t>LC76_Security_Fire_Guide.html</t>
        </is>
      </c>
      <c r="C18" s="20" t="inlineStr">
        <is>
          <t>R35</t>
        </is>
      </c>
      <c r="D18" s="20" t="inlineStr">
        <is>
          <t>Fire response · extinguishers · anti-bribery</t>
        </is>
      </c>
      <c r="E18" s="20" t="inlineStr">
        <is>
          <t>CONFIRMED vs recognised fire authorities (RAC/UK Fire Service/Mobil): don't fully open bonnet (oxygen flare) — discharge through gap; ABC/ABE dry powder default, non-conductive; aim at base, short bursts; carry ≥2 (1kg empties fast); isolate batteries for electrical; never gas appliance in closed tent (CO). Security/checkpoint/anti-bribery (paperwork request, never escalate, safety&gt;principle, decoy cash; SA filming legal, varies abroad) aligns with standard travel-security doctrine.</t>
        </is>
      </c>
      <c r="F18" s="40" t="inlineStr">
        <is>
          <t>S</t>
        </is>
      </c>
      <c r="G18" s="20" t="inlineStr">
        <is>
          <t>Consistent</t>
        </is>
      </c>
      <c r="H18" s="20" t="inlineStr">
        <is>
          <t>RAC / UK Fire Service / Mobil / Fire Protection Online (Tier-2)</t>
        </is>
      </c>
      <c r="I18" s="20" t="inlineStr">
        <is>
          <t>2</t>
        </is>
      </c>
      <c r="J18" s="39" t="inlineStr">
        <is>
          <t>Sound — confirmed</t>
        </is>
      </c>
      <c r="K18" s="20" t="inlineStr">
        <is>
          <t>Optional adds: state 'never water on engine/fuel fire' explicitly; add Li-ion (Lith-ex/fire blanket) note at LiFePO4 install (forward-looking, electrical deferred).</t>
        </is>
      </c>
      <c r="L18" s="27" t="inlineStr">
        <is>
          <t>Closed</t>
        </is>
      </c>
    </row>
    <row r="19" ht="15" customHeight="1" s="21">
      <c r="A19" s="20" t="inlineStr">
        <is>
          <t>TA-017</t>
        </is>
      </c>
      <c r="B19" s="20" t="inlineStr">
        <is>
          <t>LC76_Emergency_Procedures_Guide.html</t>
        </is>
      </c>
      <c r="C19" s="20" t="inlineStr">
        <is>
          <t>R10</t>
        </is>
      </c>
      <c r="D19" s="20" t="inlineStr">
        <is>
          <t>Resuscitation protocol coverage / index integrity</t>
        </is>
      </c>
      <c r="E19" s="20" t="inlineStr">
        <is>
          <t>GAP + broken cross-refs. §1 Medical Quick-Index routes 'CPR→§4' and 'drowning→§6', but NEITHER protocol exists in those sections. Choking/airway obstruction absent entirely. Anaphylaxis is on the evacuate-now list and §9 kit carries an EpiPen, but there is NO anaphylaxis treatment protocol. The §9 kit also carries a CPR face shield — tools present, use-protocols missing. (Rest of R10 verified sound: §3 fire consistent w/ R35; §4 bleeding/tourniquet/fractures/head/burns/shock/appendicitis correct &amp; current; §6 heat/cold correct; §7 anti-hydrolock sound; §8 comms tiers correct; §9 kit well-specified; §11 rationing sound.)</t>
        </is>
      </c>
      <c r="F19" s="40" t="inlineStr">
        <is>
          <t>S</t>
        </is>
      </c>
      <c r="G19" s="20" t="inlineStr">
        <is>
          <t>Index promises content §4/§6 don't contain</t>
        </is>
      </c>
      <c r="H19" s="20" t="inlineStr">
        <is>
          <t>Current first-aid standard (CPR 30:2, IM adrenaline, choking back-blows/thrusts)</t>
        </is>
      </c>
      <c r="I19" s="20" t="inlineStr">
        <is>
          <t>2</t>
        </is>
      </c>
      <c r="J19" s="39" t="inlineStr">
        <is>
          <t>Resolved</t>
        </is>
      </c>
      <c r="K19" s="20" t="inlineStr">
        <is>
          <t>DONE: added CPR (30:2, 5–6cm, 100–120), Choking (5+5, CPR if unconscious), Anaphylaxis (IM adrenaline 0.5mg 1:1000 mid-thigh, lie flat/never stand, repeat 5min) to §4; Drowning (5 breaths first, then 30:2, not compression-only, secondary-drowning evac) to §6; §1 index reconciled. All to current Resus Council/ANZCOR/Red Cross standard. div 324/324, JS OK.</t>
        </is>
      </c>
      <c r="L19" s="27" t="inlineStr">
        <is>
          <t>Closed</t>
        </is>
      </c>
    </row>
    <row r="20" ht="15" customHeight="1" s="21">
      <c r="A20" s="20" t="inlineStr">
        <is>
          <t>TA-018</t>
        </is>
      </c>
      <c r="B20" s="20" t="inlineStr">
        <is>
          <t>LC_Service_history_FINAL.xlsx + LC76_Facts.txt + LC76_Service_History.html (R8)</t>
        </is>
      </c>
      <c r="C20" s="20" t="inlineStr">
        <is>
          <t>R8/Facts</t>
        </is>
      </c>
      <c r="D20" s="20" t="inlineStr">
        <is>
          <t>Udel Jun 2026 fuel-injection overhaul UNRECORDED</t>
        </is>
      </c>
      <c r="E20" s="20" t="inlineStr">
        <is>
          <t>CORRECTED: Udel overhaul IS fully recorded in the LIVE repo. R8 (GitHub) = 314 records, R810,872.32, 25 Udel line items summing R36,729.31 (inv 51488/Job 50017; Gov 093500-6070/Pump 196000-6070), per-cylinder valve was/set table, injectors+pump+glow+filter housing+tank clean all logged. Facts.txt updated (latest 310,412; valves resolved). Reconciles to the cent: 289+25=314; R774,143.01+R36,729.31=R810,872.32. My initial 'unrecorded' reading came from STALE project-knowledge copies + stale project xlsx — the fetch-before-edit governance trap. RESIDUAL: (a) xlsx authoritative (project copy) still 289/R774,143 — lags R8 by the 25 Udel rows; (b) R24 Fuel System Guide not yet updated for the overhaul (no 310,412/Udel mention).</t>
        </is>
      </c>
      <c r="F20" s="38" t="inlineStr">
        <is>
          <t>M</t>
        </is>
      </c>
      <c r="G20" s="20" t="inlineStr">
        <is>
          <t>All authoritatives stale/contradictory</t>
        </is>
      </c>
      <c r="H20" s="20" t="inlineStr">
        <is>
          <t>Project brief + memory describe the work; records do not contain it</t>
        </is>
      </c>
      <c r="I20" s="20" t="inlineStr">
        <is>
          <t>internal</t>
        </is>
      </c>
      <c r="J20" s="27" t="inlineStr">
        <is>
          <t>CLOSED — xlsx re-tied, R24 confirmed no-defect</t>
        </is>
      </c>
      <c r="K20" s="20" t="inlineStr">
        <is>
          <t>(a) Append the 25 Udel rows to the xlsx authoritative to re-tie to R8 (314/R810,872.32), OR confirm R8 embedded JSON is now the financial source-of-truth and retire the lagging xlsx. (b) Propagate the overhaul into R24 (pump rebuild + injector recon + new filter housing). NOTE governance: always fetch live before concluding. — RESOLVED: (a) 25 Udel rows appended to LC_Service_history_FINAL.xlsx (2 legacy formula cells in Cost col also converted to static values — lost cached results on resave, caught before finalising). Now 314 records, R810,872.32, ties to R8 embedded ledger to the cent. (b) R24 Fuel System Guide checked — pure system/theory reference, no dated history anywhere, consistently cross-refers to R8 (same pattern as R22/R8 precedent). No defect; no edit needed.</t>
        </is>
      </c>
      <c r="L20" s="27" t="inlineStr">
        <is>
          <t>Closed</t>
        </is>
      </c>
    </row>
    <row r="21">
      <c r="A21" s="20" t="inlineStr">
        <is>
          <t>TA-019</t>
        </is>
      </c>
      <c r="B21" s="20" t="inlineStr">
        <is>
          <t>LC76_Spares_Tools.html</t>
        </is>
      </c>
      <c r="C21" s="20" t="inlineStr">
        <is>
          <t>R3</t>
        </is>
      </c>
      <c r="D21" s="20" t="inlineStr">
        <is>
          <t>Valve-adjust description (shim vs locknut)</t>
        </is>
      </c>
      <c r="E21" s="20" t="inlineStr">
        <is>
          <t>L1323 — 'On the 1HZ, clearance adjustment requires a 12mm spanner on the rocker adjuster and a 12mm on the locknut — both done simultaneously' — same defect as TA-001 in R4. 1HZ is shim-type (confirmed by Udel Jun 2026 12-shim adjustment).</t>
        </is>
      </c>
      <c r="F21" s="41" t="inlineStr">
        <is>
          <t>S</t>
        </is>
      </c>
      <c r="G21" s="20" t="inlineStr">
        <is>
          <t>Contradicts FSM &amp; real shim job</t>
        </is>
      </c>
      <c r="H21" s="20" t="inlineStr">
        <is>
          <t>FSM RM617E SS-3 + Udel Jun 2026 service record</t>
        </is>
      </c>
      <c r="I21" s="20" t="inlineStr">
        <is>
          <t>1</t>
        </is>
      </c>
      <c r="J21" s="29" t="inlineStr">
        <is>
          <t>CONFIRMED defect — FIXED</t>
        </is>
      </c>
      <c r="K21" s="20" t="inlineStr">
        <is>
          <t>FIX in R3 pass (this session): re-write field-note to shim-type description, reclassify difficulty (SST + cam removal). | FIXED — re-wrote field-note: 1HZ shim-type valvetrain (bucket-and-shim, no rocker arms), workshop job (SST + cam-bearing-cap discipline + shim stock), and recorded Udel Jun 2026 12-shim adjustment. (this session)</t>
        </is>
      </c>
      <c r="L21" s="29" t="inlineStr">
        <is>
          <t>Closed</t>
        </is>
      </c>
    </row>
    <row r="22">
      <c r="A22" s="20" t="inlineStr">
        <is>
          <t>TA-020</t>
        </is>
      </c>
      <c r="B22" s="20" t="inlineStr">
        <is>
          <t>LC76_1HZ_Troubleshooting_Guide.html</t>
        </is>
      </c>
      <c r="C22" s="20" t="inlineStr">
        <is>
          <t>R18</t>
        </is>
      </c>
      <c r="D22" s="20" t="inlineStr">
        <is>
          <t>Stale valve-gap + pre-trip pump-rebuild claims (post-Udel)</t>
        </is>
      </c>
      <c r="E22" s="20" t="inlineStr">
        <is>
          <t>Three obsolete claims: (a) L376 symptom-row cause 'Valve clearances overdue, injector rattle'; (b) L563 warn-box 'Valve clearances on this vehicle have NO RECORD at ~310,000 km — critical overdue'; (c) L714 note-box recommending pre-2028 pump rebuild — Udel rebuilt the VE pump Jun 2026.</t>
        </is>
      </c>
      <c r="F22" s="42" t="inlineStr">
        <is>
          <t>M</t>
        </is>
      </c>
      <c r="G22" s="20" t="inlineStr">
        <is>
          <t>All authoritatives already updated (Facts.txt §3 RESOLVED; R8 valve table present)</t>
        </is>
      </c>
      <c r="H22" s="20" t="inlineStr">
        <is>
          <t>LC76_Facts.txt §3; R8 Service History</t>
        </is>
      </c>
      <c r="I22" s="20" t="inlineStr">
        <is>
          <t>internal</t>
        </is>
      </c>
      <c r="J22" s="29" t="inlineStr">
        <is>
          <t>CONFIRMED — three stale propagation points</t>
        </is>
      </c>
      <c r="K22" s="20" t="inlineStr">
        <is>
          <t>FIXED — R18 three surgical edits (this session): (a) ticking row cause → 'Injector rattle, top-end wear (valves SET Jun 2026)'; (b) warn-box → ✓ SET 19 Jun 2026; (c) note-box → ✓ pump rebuilt &amp; calibrated Udel (Gov 093500-6070 / Pump 196000-6070).</t>
        </is>
      </c>
      <c r="L22" s="29" t="inlineStr">
        <is>
          <t>Closed</t>
        </is>
      </c>
    </row>
    <row r="23">
      <c r="A23" s="20" t="inlineStr">
        <is>
          <t>TA-021</t>
        </is>
      </c>
      <c r="B23" s="20" t="inlineStr">
        <is>
          <t>LC76_Bush_Mechanics_Guide.html</t>
        </is>
      </c>
      <c r="C23" s="20" t="inlineStr">
        <is>
          <t>R27</t>
        </is>
      </c>
      <c r="D23" s="20" t="inlineStr">
        <is>
          <t>Stale valve-gap warning (post-Udel)</t>
        </is>
      </c>
      <c r="E23" s="20" t="inlineStr">
        <is>
          <t>L1009 warn-box 'HZJ76R-RKMRS has no valve clearance service on record at ~310,000 km. A bent valve from timing belt failure on top of this service gap…' — valves SET Jun 2026. The crank-seal-protects-timing-belt point itself is still valid (a fresh shim adjustment doesn't make a contaminated belt safe on an interference engine).</t>
        </is>
      </c>
      <c r="F23" s="42" t="inlineStr">
        <is>
          <t>M</t>
        </is>
      </c>
      <c r="G23" s="20" t="inlineStr">
        <is>
          <t>Facts.txt §3 RESOLVED; R8 records adjustment</t>
        </is>
      </c>
      <c r="H23" s="20" t="inlineStr">
        <is>
          <t>LC76_Facts.txt §3; R8</t>
        </is>
      </c>
      <c r="I23" s="20" t="inlineStr">
        <is>
          <t>internal</t>
        </is>
      </c>
      <c r="J23" s="29" t="inlineStr">
        <is>
          <t>CONFIRMED — stale claim, valid surrounding point</t>
        </is>
      </c>
      <c r="K23" s="20" t="inlineStr">
        <is>
          <t>FIXED — re-wrote warn-box: valve adjustment recorded; crank-seal threat to belt remains the active risk on an interference engine. (this session)</t>
        </is>
      </c>
      <c r="L23" s="29" t="inlineStr">
        <is>
          <t>Closed</t>
        </is>
      </c>
    </row>
    <row r="24">
      <c r="A24" s="20" t="inlineStr">
        <is>
          <t>TA-022</t>
        </is>
      </c>
      <c r="B24" s="20" t="inlineStr">
        <is>
          <t>LC76_Cooling_System_Guide.html</t>
        </is>
      </c>
      <c r="C24" s="20" t="inlineStr">
        <is>
          <t>R22</t>
        </is>
      </c>
      <c r="D24" s="20" t="inlineStr">
        <is>
          <t>'~308,500 km' current-odo refs (6 spots)</t>
        </is>
      </c>
      <c r="E24" s="20" t="inlineStr">
        <is>
          <t>Six occurrences of 308,500 km as current odometer (masthead L372; fan-clutch test card L518/L1031; water-pump life narrative L539; thermostat replace card L645). All keyed off Apr 2026 cooling event — current canonical is 310,412 km.</t>
        </is>
      </c>
      <c r="F24" s="42" t="inlineStr">
        <is>
          <t>M</t>
        </is>
      </c>
      <c r="G24" s="20" t="inlineStr">
        <is>
          <t>Lags Facts.txt §2 (310,412)</t>
        </is>
      </c>
      <c r="H24" s="20" t="inlineStr">
        <is>
          <t>Facts §2</t>
        </is>
      </c>
      <c r="I24" s="20" t="inlineStr">
        <is>
          <t>internal</t>
        </is>
      </c>
      <c r="J24" s="41" t="inlineStr">
        <is>
          <t>Stale current</t>
        </is>
      </c>
      <c r="K24" s="20" t="inlineStr">
        <is>
          <t>DEFER to T4 odometer batch (with R8 'Current Service Status' and R8s) — same surgical pattern as R8s re-key. Preserve event mileages (Apr 2026 @ 308,500 Radiator King test stays). — DONE 21 Jun 2026 (T4): 3 current re-keys → 310,412; events preserved.</t>
        </is>
      </c>
      <c r="L24" s="42" t="inlineStr">
        <is>
          <t>Closed</t>
        </is>
      </c>
    </row>
    <row r="25">
      <c r="A25" s="20" t="inlineStr">
        <is>
          <t>TA-023</t>
        </is>
      </c>
      <c r="B25" s="20" t="inlineStr">
        <is>
          <t>LC76_Turbo_Operations_Guide.html</t>
        </is>
      </c>
      <c r="C25" s="20" t="inlineStr">
        <is>
          <t>R21</t>
        </is>
      </c>
      <c r="D25" s="20" t="inlineStr">
        <is>
          <t>Boost-gauge-pending qualifier (now confirmed)</t>
        </is>
      </c>
      <c r="E25" s="20" t="inlineStr">
        <is>
          <t>L399 exhaust note ends 'worth confirming once the boost gauge is verified' — boost confirmed by Udel Jun 2026 at 0.6 bar (8.7 psi), within SAC low-boost envelope. The (7–10 psi) range on L485 spans the confirmed reading and needs no edit.</t>
        </is>
      </c>
      <c r="F25" s="29" t="inlineStr">
        <is>
          <t>E</t>
        </is>
      </c>
      <c r="G25" s="20" t="inlineStr">
        <is>
          <t>Facts.txt confirms 0.6 bar Jun 2026</t>
        </is>
      </c>
      <c r="H25" s="20" t="inlineStr">
        <is>
          <t>Facts §2 / R8 Udel notes</t>
        </is>
      </c>
      <c r="I25" s="20" t="inlineStr">
        <is>
          <t>internal</t>
        </is>
      </c>
      <c r="J25" s="41" t="inlineStr">
        <is>
          <t>Stale qualifier</t>
        </is>
      </c>
      <c r="K25" s="20" t="inlineStr">
        <is>
          <t>FIXED — clause re-keyed to 'boost confirmed by Udel Jun 2026 at 0.6 bar (8.7 psi), within the SAC low-boost envelope.'</t>
        </is>
      </c>
      <c r="L25" s="29" t="inlineStr">
        <is>
          <t>Closed</t>
        </is>
      </c>
    </row>
    <row r="26">
      <c r="A26" s="20" t="inlineStr">
        <is>
          <t>TA-024</t>
        </is>
      </c>
      <c r="B26" s="20" t="inlineStr">
        <is>
          <t>LC76_Engine_Training.html</t>
        </is>
      </c>
      <c r="C26" s="20" t="inlineStr">
        <is>
          <t>R4</t>
        </is>
      </c>
      <c r="D26" s="20" t="inlineStr">
        <is>
          <t>1HZ engine architecture misdescribed as OHV throughout</t>
        </is>
      </c>
      <c r="E26" s="20" t="inlineStr">
        <is>
          <t>R4 describes the 1HZ as OHV (camshaft in block, pushrods, rocker arms) across SIX locations: L314 (TOC '2.3 Push Rods &amp; Rocker Arms'), L593 (Cylinder Head card 'camshaft runs in the block (OHV layout)'), L609-622 (Push Rods &amp; Rocker Arms card — the original TA-001 target), L643 (Valve Cover card 'encloses the rocker arms, rocker shaft, upper ends of the pushrods'), L723 (Camshaft card 'long cast iron shaft running the full length of the block… Unlike overhead cam engines, the 1HZ cam is deep inside the block'), L727 (cam-wear: 'pushrod no longer lifts'). Reality: 1HZ is SOHC, belt-driven OHC, bucket-and-shim valvetrain. Text appears to have been written for the predecessor 2H (which IS OHV+pushrods) and never corrected. TA-001 fix on one card alone would create internal contradictions across the other five locations.</t>
        </is>
      </c>
      <c r="F26" s="41" t="inlineStr">
        <is>
          <t>S</t>
        </is>
      </c>
      <c r="G26" s="20" t="inlineStr">
        <is>
          <t>Contradicts FSM RM617E + Udel Jun 2026 shim job</t>
        </is>
      </c>
      <c r="H26" s="20" t="inlineStr">
        <is>
          <t>FSM RM617E SS-1/SS-3 (1HZ valvetrain); R8 valve-set table (12 shims)</t>
        </is>
      </c>
      <c r="I26" s="20" t="inlineStr">
        <is>
          <t>1</t>
        </is>
      </c>
      <c r="J26" s="41" t="inlineStr">
        <is>
          <t>CONFIRMED — structural defect across R4 (supersedes TA-001 single-card scope) — RESOLVED 21 Jun 2026</t>
        </is>
      </c>
      <c r="K26" s="20" t="inlineStr">
        <is>
          <t>DEFER to dedicated R4 session (B-path agreed): full propose-then-execute pass on all six locations + TOC rename + spec-table row + cam-wear mechanism wording. Original TA-001 stays open as the locknut/method sub-component of this finding. | RESOLVED 21 Jun 2026 (R4 dedicated session): full SOHC reconciliation executed — 16 surgical edits. Full-file sweep found 5 further OHV remnants beyond the brief's 7 targets, which would have left R4 self-contradictory: section-2 desc (L545), core-card glyph (L605), valve-cover loc-pill (L638), camshaft comp-code 'IN-BLOCK OHV/6 LOBES' (L715), camshaft loc-pill 'Inside the engine block' (L718). Two embedded errors in the old text also corrected: clearance values 0.25/0.30 -&gt; 0.15-0.25/0.35-0.45 mm cold, and lobe count 6 -&gt; 12. Core card retitled 'Camshaft, Buckets &amp; Shims'; tip relabelled 'Field Difficulty' (Section 4 approved text used verbatim). Boost-compensator push rod (L1017) correctly left untouched (different component). Validation: div balance held 939/942 (pre-existing -3 is outside scope, flagged to owner separately), JS OK, OHV sweep clean. R4 was the last library doc carrying OHV text — architecture-description cluster now closed library-wide.</t>
        </is>
      </c>
      <c r="L26" s="42" t="inlineStr">
        <is>
          <t>Closed</t>
        </is>
      </c>
    </row>
    <row r="27">
      <c r="A27" s="20" t="inlineStr">
        <is>
          <t>TA-025</t>
        </is>
      </c>
      <c r="B27" s="20" t="inlineStr">
        <is>
          <t>LC76_Pre_Trip_Prep_Protocol.html</t>
        </is>
      </c>
      <c r="C27" s="20" t="inlineStr">
        <is>
          <t>R23</t>
        </is>
      </c>
      <c r="D27" s="20" t="inlineStr">
        <is>
          <t>Udel-superseded powertrain verdicts (valves/injectors/pump) presented as outstanding pre-trip tasks</t>
        </is>
      </c>
      <c r="E27" s="20" t="inlineStr">
        <is>
          <t>R23 commissions valve-set, injector pop-test/recon and pump calibration as FUTURE workshop tasks citing Mar 2025 DupDiesel as latest. All completed by Udel 19 Jun 2026 @ 310,412 km (VE pump rebuild, 6 injectors reconditioned w/ new nozzles, all 12 valves set — first recorded adjustment). Verdicts flipped to done; forward re-tests genericised per supplier rule; Mar 2025 dyno 118 kW/373 Nm preserved as current (Facts §5).</t>
        </is>
      </c>
      <c r="F27" s="41" t="inlineStr">
        <is>
          <t>M</t>
        </is>
      </c>
      <c r="G27" s="20" t="inlineStr">
        <is>
          <t>Facts §2 Udel scope; ledger (pre-Udel) confirms prior state</t>
        </is>
      </c>
      <c r="H27" s="20" t="inlineStr">
        <is>
          <t>LC76_Facts.txt §2/§5; LC_Service_history_FINAL.xlsx</t>
        </is>
      </c>
      <c r="I27" s="20" t="inlineStr">
        <is>
          <t>internal</t>
        </is>
      </c>
      <c r="J27" s="41" t="inlineStr">
        <is>
          <t>Stale (pre-Udel)</t>
        </is>
      </c>
      <c r="K27" s="20" t="inlineStr">
        <is>
          <t>R23 conformance pass 21 Jun 2026 (T4): valve/injector/pump verdicts → Udel Jun 2026; brief-list L1340-1342 marked done.</t>
        </is>
      </c>
      <c r="L27" s="42" t="inlineStr">
        <is>
          <t>Closed</t>
        </is>
      </c>
    </row>
    <row r="28">
      <c r="A28" s="20" t="inlineStr">
        <is>
          <t>TA-026</t>
        </is>
      </c>
      <c r="B28" s="20" t="inlineStr">
        <is>
          <t>LC76_Pre_Trip_Prep_Protocol.html</t>
        </is>
      </c>
      <c r="C28" s="20" t="inlineStr">
        <is>
          <t>R23</t>
        </is>
      </c>
      <c r="D28" s="20" t="inlineStr">
        <is>
          <t>Exhaust valve-clearance spec below authoritative range</t>
        </is>
      </c>
      <c r="E28" s="20" t="inlineStr">
        <is>
          <t>Valve task-spec L740 stated cold 'Inlet 0.20 / Exhaust 0.30 mm'. Exhaust 0.30 sits BELOW authoritative range (Facts: intake 0.15-0.25 / exhaust 0.35-0.45 mm cold, confirmed by Udel shim job). Burnt-valve-relevant if followed. Corrected to 0.15-0.25 / 0.35-0.45.</t>
        </is>
      </c>
      <c r="F28" s="41" t="inlineStr">
        <is>
          <t>S</t>
        </is>
      </c>
      <c r="G28" s="20" t="inlineStr">
        <is>
          <t>Contradicts Facts §2 valve spec</t>
        </is>
      </c>
      <c r="H28" s="20" t="inlineStr">
        <is>
          <t>LC76_Facts.txt §2 (Udel authoritative per owner)</t>
        </is>
      </c>
      <c r="I28" s="20" t="inlineStr">
        <is>
          <t>internal</t>
        </is>
      </c>
      <c r="J28" s="41" t="inlineStr">
        <is>
          <t>Spec error (below range)</t>
        </is>
      </c>
      <c r="K28" s="20" t="inlineStr">
        <is>
          <t>Corrected to authoritative spec 21 Jun 2026 (T4).</t>
        </is>
      </c>
      <c r="L28" s="42" t="inlineStr">
        <is>
          <t>Closed</t>
        </is>
      </c>
    </row>
    <row r="29">
      <c r="A29" s="20" t="inlineStr">
        <is>
          <t>TA-027</t>
        </is>
      </c>
      <c r="B29" s="20" t="inlineStr">
        <is>
          <t>LC76_Pre_Trip_Prep_Protocol.html</t>
        </is>
      </c>
      <c r="C29" s="20" t="inlineStr">
        <is>
          <t>R23</t>
        </is>
      </c>
      <c r="D29" s="20" t="inlineStr">
        <is>
          <t>Timing-belt internal contradiction (no-record vs done Apr 2025)</t>
        </is>
      </c>
      <c r="E29" s="20" t="inlineStr">
        <is>
          <t>Self-contradiction: L503/L690/L1340 state belt 'no service record / unknown history / never replaced / replace before expedition, no exceptions', while L577-580/702-703 + Facts + ledger record belt+tensioner+idler+cover replaced 23 Apr 2025 @ 273,023 km (PW Auto Centre, 6 ledger line-items). 'No-record' lines were wrong; would prompt needless replacement of a ~37,389 km belt on an interference engine.</t>
        </is>
      </c>
      <c r="F29" s="41" t="inlineStr">
        <is>
          <t>S</t>
        </is>
      </c>
      <c r="G29" s="20" t="inlineStr">
        <is>
          <t>Ledger 23 Apr 2025 @ 273,023 cambelt job; Facts §2 cambelt 37,389 km</t>
        </is>
      </c>
      <c r="H29" s="20" t="inlineStr">
        <is>
          <t>LC_Service_history_FINAL.xlsx; LC76_Facts.txt §2</t>
        </is>
      </c>
      <c r="I29" s="20" t="inlineStr">
        <is>
          <t>internal</t>
        </is>
      </c>
      <c r="J29" s="41" t="inlineStr">
        <is>
          <t>Internal contradiction / stale</t>
        </is>
      </c>
      <c r="K29" s="20" t="inlineStr">
        <is>
          <t>L503/L690/L1340 corrected to reflect Apr 2025 replacement 21 Jun 2026 (T4). Surfaced by owner complete-file sweep instruction; belt @273,023 ledger-confirmed.</t>
        </is>
      </c>
      <c r="L29" s="42" t="inlineStr">
        <is>
          <t>Closed</t>
        </is>
      </c>
    </row>
    <row r="30">
      <c r="A30" s="20" t="inlineStr">
        <is>
          <t>TA-028</t>
        </is>
      </c>
      <c r="B30" s="20" t="inlineStr">
        <is>
          <t>LC76_Pre_Trip_Prep_Protocol.html</t>
        </is>
      </c>
      <c r="C30" s="20" t="inlineStr">
        <is>
          <t>R23</t>
        </is>
      </c>
      <c r="D30" s="20" t="inlineStr">
        <is>
          <t>Current-odo + derived-km stale (pre-Udel base); pump brand; fuel-filter status</t>
        </is>
      </c>
      <c r="E30" s="20" t="inlineStr">
        <is>
          <t>Current odo ~310,000 and all derived km-since computed off pre-Udel base. Full-refreshed: current 310,412, turbo 86,006, belt 37,389, fluids 16,463, drivetrain 39,212, glow 38,227. Pump brand 'Denso VE' → 'Bosch VE' (Facts/Udel). Fuel-filter housing renewed Udel Jun 2026 — task marked done. Event mileages (308,248/308,500 Apr 2026) preserved.</t>
        </is>
      </c>
      <c r="F30" s="41" t="inlineStr">
        <is>
          <t>M</t>
        </is>
      </c>
      <c r="G30" s="20" t="inlineStr">
        <is>
          <t>Lags Facts §2 (310,412/86,006)</t>
        </is>
      </c>
      <c r="H30" s="20" t="inlineStr">
        <is>
          <t>LC76_Facts.txt §2</t>
        </is>
      </c>
      <c r="I30" s="20" t="inlineStr">
        <is>
          <t>internal</t>
        </is>
      </c>
      <c r="J30" s="41" t="inlineStr">
        <is>
          <t>Stale current/derived</t>
        </is>
      </c>
      <c r="K30" s="20" t="inlineStr">
        <is>
          <t>R23 full-refresh 21 Jun 2026 (T4, scope-b); div 235/235 held; residual sweep clean; events preserved.</t>
        </is>
      </c>
      <c r="L30" s="42" t="inlineStr">
        <is>
          <t>Closed</t>
        </is>
      </c>
    </row>
    <row r="31">
      <c r="A31" s="20" t="inlineStr">
        <is>
          <t>TA-029</t>
        </is>
      </c>
      <c r="B31" s="20" t="inlineStr">
        <is>
          <t>LC76_Service_Checklist.html</t>
        </is>
      </c>
      <c r="C31" s="20" t="inlineStr">
        <is>
          <t>R8 suppl.</t>
        </is>
      </c>
      <c r="D31" s="20" t="inlineStr">
        <is>
          <t>Checklist pre-Udel turbo/flush base + stale valve item</t>
        </is>
      </c>
      <c r="E31" s="20" t="inlineStr">
        <is>
          <t>Turbo-shaft L216 '~85,594 km' and flush L253 '~85,594 km overdue' off pre-Udel base → 86,006. Valve item L244 'NO RECORD … at 310,000 km' flagged critical/noRecord → flipped to 'Set Jun 2026 @ 310,412 km (Udel, shim-type)'; critical/noRecord flags cleared. Interval anchor LAST_SERVICE_KM=308248 RETAINED (Udel = fuel-injection overhaul, not routine interval service — owner-confirmed).</t>
        </is>
      </c>
      <c r="F31" s="41" t="inlineStr">
        <is>
          <t>M</t>
        </is>
      </c>
      <c r="G31" s="20" t="inlineStr">
        <is>
          <t>Lags Facts §2; owner-confirmed anchor</t>
        </is>
      </c>
      <c r="H31" s="20" t="inlineStr">
        <is>
          <t>LC76_Facts.txt §2</t>
        </is>
      </c>
      <c r="I31" s="20" t="inlineStr">
        <is>
          <t>internal</t>
        </is>
      </c>
      <c r="J31" s="41" t="inlineStr">
        <is>
          <t>Stale (pre-Udel)</t>
        </is>
      </c>
      <c r="K31" s="20" t="inlineStr">
        <is>
          <t>Checklist conformance 21 Jun 2026 (T4); div 42/42, JS OK; events 308,248/308,500 preserved.</t>
        </is>
      </c>
      <c r="L31" s="42" t="inlineStr">
        <is>
          <t>Closed</t>
        </is>
      </c>
    </row>
    <row r="32">
      <c r="A32" s="20" t="inlineStr">
        <is>
          <t>TA-030</t>
        </is>
      </c>
      <c r="B32" s="20" t="inlineStr">
        <is>
          <t>LC76_Service_History.html</t>
        </is>
      </c>
      <c r="C32" s="20" t="inlineStr">
        <is>
          <t>R8</t>
        </is>
      </c>
      <c r="D32" s="20" t="inlineStr">
        <is>
          <t>Glow-plug provenance across R8 (L1043) / R23 (L596/834/835) / Facts §2 (L169)</t>
        </is>
      </c>
      <c r="E32" s="20" t="inlineStr">
        <is>
          <t>Glow-plug service date inconsistent. Live R8 ledger (314-rec; Udel 19 Jun 2026 @ 310,412) carries 'Labour to recondition injectors (incl. glow plugs)' — R&amp;R'd during injector recon — but NO glow-plug parts/test line (unlike Mar 2025 DupDiesel 'Glow plugs test'). Correct reading: last TESTED Mar 2025 (DupDiesel); R&amp;R Jun 2026 (Udel), not re-tested/replaced. R8 'Serviced Jun 2026' overstated; R23/Facts 'Mar 2025' understated. [REVISED 21 Jun: original finding ('R8 mis-attributes to Udel; correct to Mar 2025') rested on the pre-Udel project-copy ledger + Facts scope summary; the live R8 embedded ledger corrected it — fetch-before-conclude.]</t>
        </is>
      </c>
      <c r="F32" s="41" t="inlineStr">
        <is>
          <t>M</t>
        </is>
      </c>
      <c r="G32" s="20" t="inlineStr">
        <is>
          <t>Facts §2; ledger; owner confirmation 21 Jun 2026</t>
        </is>
      </c>
      <c r="H32" s="20" t="inlineStr">
        <is>
          <t>LC76_Facts.txt §2; LC_Service_history_FINAL.xlsx</t>
        </is>
      </c>
      <c r="I32" s="20" t="inlineStr">
        <is>
          <t>internal</t>
        </is>
      </c>
      <c r="J32" s="41" t="inlineStr">
        <is>
          <t>Cross-doc inconsistency</t>
        </is>
      </c>
      <c r="K32" s="20" t="inlineStr">
        <is>
          <t>Harmonised wording 'tested Mar 2025 (DupDiesel); R&amp;R Jun 2026 (Udel), not re-tested' applied to R23 + Facts §2 21 Jun 2026 (T4). R8 interval-tracker L1043 ('Serviced Jun 2026') to be refined to same wording in R8 session.  | [R8 T4 pass 21 Jun 2026] R8 L1043 cell -&gt; 'Tested Mar 2025 @ 272,185km (DupDiesel); R&amp;R Jun 2026 (Udel, injector recon) - not re-tested'; status -&gt; 'Tested Mar 2025; R&amp;R Jun 2026'. L778 narrative parity-appended '(R&amp;R Jun 2026, Udel - not re-tested)'. Now matches R23 + Facts §2. CLOSED.</t>
        </is>
      </c>
      <c r="L32" s="42" t="inlineStr">
        <is>
          <t>Closed</t>
        </is>
      </c>
    </row>
    <row r="33">
      <c r="A33" s="20" t="inlineStr">
        <is>
          <t>TA-031</t>
        </is>
      </c>
      <c r="B33" s="20" t="inlineStr">
        <is>
          <t>LC76_Pre_Trip_Prep_Protocol.html / LC76_Facts.txt</t>
        </is>
      </c>
      <c r="C33" s="20" t="inlineStr">
        <is>
          <t>R23 / Facts</t>
        </is>
      </c>
      <c r="D33" s="20" t="inlineStr">
        <is>
          <t>Diesel-tank Jun 2026 remediation not recorded</t>
        </is>
      </c>
      <c r="E33" s="20" t="inlineStr">
        <is>
          <t>Live R8 ledger records Udel 19 Jun 2026 @ 310,412 'Remove, clean &amp; refit diesel tank (labour) — dropped, flushed, refitted, fuel-contamination remediation' — likely ROOT CAUSE of the overhaul (tank flush + pump rebuild + injector recon + new filter housing). R23 fuel section warned of contamination generically but never recorded the event; Facts §2 listed only the Feb 2024 SAC tank refit.</t>
        </is>
      </c>
      <c r="F33" s="41" t="inlineStr">
        <is>
          <t>M</t>
        </is>
      </c>
      <c r="G33" s="20" t="inlineStr">
        <is>
          <t>Live R8 ledger Udel rows; owner-confirmed</t>
        </is>
      </c>
      <c r="H33" s="20" t="inlineStr">
        <is>
          <t>R8 embedded ledger / LC_Service_history_FINAL.xlsx</t>
        </is>
      </c>
      <c r="I33" s="20" t="inlineStr">
        <is>
          <t>internal</t>
        </is>
      </c>
      <c r="J33" s="41" t="inlineStr">
        <is>
          <t>Omission (remediation event)</t>
        </is>
      </c>
      <c r="K33" s="20" t="inlineStr">
        <is>
          <t>R23 fuel section + Facts §2 updated 21 Jun 2026 (T4) with the Jun 2026 tank remediation; R8 ledger already carries the line (no R8 change).</t>
        </is>
      </c>
      <c r="L33" s="42" t="inlineStr">
        <is>
          <t>Closed</t>
        </is>
      </c>
    </row>
    <row r="34">
      <c r="A34" s="20" t="inlineStr">
        <is>
          <t>TA-032</t>
        </is>
      </c>
      <c r="B34" s="20" t="inlineStr">
        <is>
          <t>LC76_Upgrade_Assessment.html</t>
        </is>
      </c>
      <c r="C34" s="20" t="inlineStr">
        <is>
          <t>R31</t>
        </is>
      </c>
      <c r="D34" s="20" t="inlineStr">
        <is>
          <t>Spec lines (×4 '0.5 bar'; '~7 psi')</t>
        </is>
      </c>
      <c r="E34" s="20" t="inlineStr">
        <is>
          <t>Turbo boost stated 0.5 bar (~7 psi)</t>
        </is>
      </c>
      <c r="F34" s="41" t="inlineStr">
        <is>
          <t>M</t>
        </is>
      </c>
      <c r="G34" s="20" t="inlineStr">
        <is>
          <t>Facts disagrees</t>
        </is>
      </c>
      <c r="H34" s="20" t="inlineStr">
        <is>
          <t>Facts §1/§ — 0.6 bar (~8.7 psi) confirmed Jun 2026 (Udel)</t>
        </is>
      </c>
      <c r="I34" s="20" t="inlineStr">
        <is>
          <t>Tier-1</t>
        </is>
      </c>
      <c r="J34" s="41" t="inlineStr">
        <is>
          <t>STALE — superseded by Jun 2026 measured boost</t>
        </is>
      </c>
      <c r="K34" s="20" t="inlineStr">
        <is>
          <t>T4-remainder R31 pass: 0.5 bar-&gt;0.6 bar, ~7 psi-&gt;~8.7 psi, add 'confirmed Jun 2026' framing. Bar primary unit. NB possible library-wide (R21/R4/R18 may carry 0.5 bar) — out of T4-remainder scope, flag for boost sweep.</t>
        </is>
      </c>
      <c r="L34" s="42" t="inlineStr">
        <is>
          <t>Closed</t>
        </is>
      </c>
    </row>
    <row r="35">
      <c r="A35" s="20" t="inlineStr">
        <is>
          <t>TA-033</t>
        </is>
      </c>
      <c r="B35" s="20" t="inlineStr">
        <is>
          <t>R11 / R28 / R31</t>
        </is>
      </c>
      <c r="C35" s="20" t="inlineStr">
        <is>
          <t>R11,R28,R31</t>
        </is>
      </c>
      <c r="D35" s="20" t="inlineStr">
        <is>
          <t>R11 odo line; R28 masthead; R31 'km on recon' ×2</t>
        </is>
      </c>
      <c r="E35" s="20" t="inlineStr">
        <is>
          <t>R11/R28 '~310,000 km' (current); R31 '~84,000 km on recon' (derived)</t>
        </is>
      </c>
      <c r="F35" s="41" t="inlineStr">
        <is>
          <t>M</t>
        </is>
      </c>
      <c r="G35" s="20" t="inlineStr">
        <is>
          <t>Facts disagrees</t>
        </is>
      </c>
      <c r="H35" s="20" t="inlineStr">
        <is>
          <t>Facts §2 — 310,412 km (19 Jun 2026); turbo recon since = 86,006 (=310,412-224,406)</t>
        </is>
      </c>
      <c r="I35" s="20" t="inlineStr">
        <is>
          <t>Tier-1</t>
        </is>
      </c>
      <c r="J35" s="41" t="inlineStr">
        <is>
          <t>STALE current (A) + derived (D)</t>
        </is>
      </c>
      <c r="K35" s="20" t="inlineStr">
        <is>
          <t>T4-remainder: R11/R28 current-odo 310,000-&gt;310,412 (Type-A); R31 turbo-recon ~84,000-&gt;86,006 (Type-D). SWEEP all 84,000 &amp; classify — R31 'R48,000-R89,000' are RAND costs, PRESERVE. Current vs event vs cost discipline. | R31 derived km-on-recon → 86,006 DONE 22 Jun 2026; R11/R28 current-odo pending. | R11 odo ~310,000→310,412 DONE 22 Jun; R28 masthead pending. | R28 masthead ~310,000→310,412 DONE 22 Jun. ALL THREE DOCS COMPLETE → CLOSED.</t>
        </is>
      </c>
      <c r="L35" s="42" t="inlineStr">
        <is>
          <t>Closed</t>
        </is>
      </c>
    </row>
    <row r="36">
      <c r="A36" s="20" t="inlineStr">
        <is>
          <t>TA-034</t>
        </is>
      </c>
      <c r="B36" s="20" t="inlineStr">
        <is>
          <t>R1/R13/R19/R23/R24/R27</t>
        </is>
      </c>
      <c r="C36" s="20" t="inlineStr">
        <is>
          <t>R1,R13,R19,R23,R24,R27</t>
        </is>
      </c>
      <c r="D36" s="20" t="inlineStr">
        <is>
          <t>Spec / overview / masthead turbo refs</t>
        </is>
      </c>
      <c r="E36" s="20" t="inlineStr">
        <is>
          <t>Turbo shown in spec/overview/masthead with no boost figure — add 0.6 bar (bar-only) for library consistency</t>
        </is>
      </c>
      <c r="F36" s="41" t="inlineStr">
        <is>
          <t>L</t>
        </is>
      </c>
      <c r="G36" s="20" t="inlineStr">
        <is>
          <t>Consistency (no stale 0.5 bar exists anywhere)</t>
        </is>
      </c>
      <c r="H36" s="20" t="inlineStr">
        <is>
          <t>Udel Jun 2026 boost confirmation (0.6 bar)</t>
        </is>
      </c>
      <c r="I36" s="20" t="inlineStr">
        <is>
          <t>—</t>
        </is>
      </c>
      <c r="J36" s="41" t="inlineStr">
        <is>
          <t>Boost-add sweep — add 0.6 bar (bar-only)</t>
        </is>
      </c>
      <c r="K36" s="20" t="inlineStr">
        <is>
          <t>Session 1, 22 Jun 2026 (§5 step 1): R1 row-val -&gt; '0.6 bar · 118 kW / 373 Nm'; R13 drivetrain line -&gt; '...with SAC turbo at 0.6 bar'. R8/R21 already 0.6 bar (reference, untouched). Session 2, 22 Jun 2026 (§5 step 2): R19 vehicle-overview turbo ref -&gt; '...SAC low-boost turbo (0.6 bar)...' (bar-only, folded w/ odo). Session 3, 22 Jun 2026 (§5 step 3): R23 masthead + footer turbo refs -&gt; '...SAC Low-Boost Turbo (0.6 bar)...' (bar-only; masthead folded w/ date Apr-&gt;Jun 2026, footer owner-approved). Session 4, 22 Jun 2026 (§5 step 4): R24 masthead mh-vehicle bar (l.373) -&gt; '...SAC Low-Boost Turbo (0.6 bar)...' (bar-only; sole turbo ref in file, single occurrence; R24 has no date element so no date bump; no odo/derived/event figures present). Session 5, 23 Jun 2026 (§5 step 5): R27 masthead mh-vehicle bar (l.339) -&gt; '...SAC Low-Boost Turbo (0.6 bar)...' (bar-only; sole turbo ref in file, single occurrence; folded w/ odo; no date element so no date bump). Sweep COMPLETE — all boost-adds applied (R1/R13/R19/R23/R24/R27).</t>
        </is>
      </c>
      <c r="L36" s="42" t="inlineStr">
        <is>
          <t>Closed</t>
        </is>
      </c>
    </row>
    <row r="37" s="21">
      <c r="A37" s="20" t="inlineStr">
        <is>
          <t>TA-035</t>
        </is>
      </c>
      <c r="B37" s="20" t="inlineStr">
        <is>
          <t>R19/R20/R23/R27/R34</t>
        </is>
      </c>
      <c r="C37" s="20" t="inlineStr">
        <is>
          <t>R19,R20,R23,R27,R34</t>
        </is>
      </c>
      <c r="D37" s="20" t="inlineStr">
        <is>
          <t>Mastheads (current-odo) + derived turbo-km</t>
        </is>
      </c>
      <c r="E37" s="20" t="inlineStr">
        <is>
          <t>Stale current-odo mastheads ~310,000 -&gt; 310,412 km; stale derived turbo-km ~80,600 -&gt; ~86,006 km</t>
        </is>
      </c>
      <c r="F37" s="41" t="inlineStr">
        <is>
          <t>L</t>
        </is>
      </c>
      <c r="G37" s="20" t="inlineStr">
        <is>
          <t>Current-vs-event-vs-cost discipline</t>
        </is>
      </c>
      <c r="H37" s="20" t="inlineStr">
        <is>
          <t>Odometer read 19 Jun 2026 (310,412); recon base 224,406</t>
        </is>
      </c>
      <c r="I37" s="20" t="inlineStr">
        <is>
          <t>—</t>
        </is>
      </c>
      <c r="J37" s="41" t="inlineStr">
        <is>
          <t>Odo / derived-km propagation</t>
        </is>
      </c>
      <c r="K37" s="20" t="inlineStr">
        <is>
          <t>Session 1, 22 Jun 2026 (§5 step 1): R34 masthead ~310,000-&gt;310,412 (sole occurrence in file; tilde dropped). Session 2, 22 Jun 2026 (§5 step 2): R19 vehicle-overview ~310,000-&gt;310,412 (sole current-odo occurrence; tilde dropped; folded w/ boost-add). Session 3, 22 Jun 2026 (§5 step 3): R23 derived turbo-km ~80,600-&gt;~86,006 (l.1324; lone straggler brought into line w/ ~86,006 at 891/892; event 224,406 preserved; R23 odo 310,412 already current, no odo edit). Session 5, 23 Jun 2026 (§5 step 5): R27 masthead ~310,000-&gt;310,412 (exact; tilde dropped; folded w/ boost-add). Contextual L828/L830 left per policy. Session 6, 23 Jun 2026 (§5 step 6): R20 masthead ~310,000-&gt;310,412 (exact, tilde dropped) + masthead date 04 Jun-&gt;23 Jun; derived turbo-km ~80,600-&gt;~86,006 (l.943, tilde kept, delta 310,412-224,406); footer date April-&gt;June per owner D1; contextual l.348/l.367 left per policy. Sweep COMPLETE — all odo/derived files done (R20 last). Contextual ~310,000 (R18 x5 / R25 / R20 x2 / R27 x2): default LEAVE. R8 310,000 = milestone labels PRESERVE. Events / install-km (38,429) / costs preserved. TA-035 CLOSED — odo/derived sweep complete.</t>
        </is>
      </c>
      <c r="L37" s="42" t="inlineStr">
        <is>
          <t>Closed</t>
        </is>
      </c>
    </row>
    <row r="38" s="21">
      <c r="A38" s="20" t="inlineStr">
        <is>
          <t>TA-036</t>
        </is>
      </c>
      <c r="B38" s="20" t="inlineStr">
        <is>
          <t>R24 / R4 / R27 / R20 / R31</t>
        </is>
      </c>
      <c r="C38" s="20" t="inlineStr">
        <is>
          <t>R24,R4,R27,R20,R31</t>
        </is>
      </c>
      <c r="D38" s="20" t="inlineStr">
        <is>
          <t>Injection-pump glyph/comp-name/comp-code/desc-para/components-table</t>
        </is>
      </c>
      <c r="E38" s="20" t="inlineStr">
        <is>
          <t>1HZ pump mis-described as inline 6-element w/ rack + hedged "Bosch/Denso" — correct to Bosch VE (Denso-built) rotary distributor; canonical naming</t>
        </is>
      </c>
      <c r="F38" s="41" t="inlineStr">
        <is>
          <t>M</t>
        </is>
      </c>
      <c r="G38" s="20" t="inlineStr">
        <is>
          <t>Ledger + R24/R27 agree (VE distributor)</t>
        </is>
      </c>
      <c r="H38" s="20" t="inlineStr">
        <is>
          <t>Toyota parts catalogue + diesel-shop sources; ledger "Bosch VE distributor pump"; Udel Jun 2026 pump rebuild</t>
        </is>
      </c>
      <c r="I38" s="20" t="inlineStr">
        <is>
          <t>Tier-1</t>
        </is>
      </c>
      <c r="J38" s="41" t="inlineStr">
        <is>
          <t>Architecture correction + canonical naming</t>
        </is>
      </c>
      <c r="K38" s="20" t="inlineStr">
        <is>
          <t>Session (R4), 24 Jun 2026: LC76_Engine_Training.html (227 KB, Opus). NAMING: comp-glyph INJECTION·PUMP·(BOSCH/DENSO)-&gt;BOSCH·VE; comp-name -&gt; 'Injection Pump — Bosch VE (Denso-built)' (first readable mention carries Denso-built); td-name (5.3) -&gt; 'Injection Pump — Bosch VE'. ARCHITECTURE CORRECTION (owner-confirmed): 'What It Does' para rewritten from inline 6-element/rack to VE rotary distributor (single plunger rotates+reciprocates; governor-positioned control collar); turbo/boost-compensator sentence preserved. GAP CAUGHT beyond brief's 4 edits: comp-code glyph l.984 '6-ELEMENT MECHANICAL INLINE PUMP...' also corrected -&gt; 'ROTARY DISTRIBUTOR PUMP · SINGLE PLUNGER...' (Edit 5) — without it the corrected name/para would contradict the glyph 2 lines above. l.1042 'six delivery valves' = correct for VE distributor head (6 outlets), left untouched. Denso count reconciled to 1 (comp-name only) per first-mention rule + brief Step 3 target (brief's Edit 3 text redundantly repeated '(Denso-built)' in the para; dropped). div 939/942 UNCHANGED by edit (pre-existing source imbalance — flagged to owner, outside TA-036). No R4 masthead date element (footer 'Rev 3.0' untouched). External verify: Toyota parts catalogue + diesel-shop technical sources confirm 1HZ = Denso VE rotary distributor. SCOPE FLAG: brief header scopes TA-036 = R24/R4/R27; Step 5 closer also lists R20/R31 — reconcile scope with owner before close. R24/R27 (and any R20/R31) Bosch-VE passes still pending. Status OPEN.
Session (R24), 24 Jun 2026: LC76_Fuel_System_Guide.html (96,459-&gt;97,125 B, Opus). Fetched SHA-pinned (main=8a2ca93, past brief's acafe4b); size matched brief 96,459 B. 6 Denso-&gt;Bosch VE corrections: masthead (first mention full 'Bosch VE (Denso-built)'), intro para, flow-node, 'why this matters' box, comp-card head, filtration intro. Denso reconciled 6-&gt;1 (masthead 'Denso-built' only); Bosch VE=7. FIELD NOTE inserted before 'Regional Fuel Quality' sub-head: Jun 2026 @310,412 km full FI overhaul (145L tank drop/flush, Bosch VE bench-rebuild+recal, 6 injectors reconditioned w/ new nozzles+pop-test, filter housing+element renewed R36,729.31, 12 valve clearances set = first recorded); generic supplier per owner decision (named record stays R8/ledger). div 484-&gt;485 (+1 note-box, balanced); JS node --check OK; +666 B. index.html: R24 card-line 'Denso VE'-&gt;'Bosch VE' (Denso=0); header-meta already '24 Jun 2026' (no bump needed); no sw.js bump (content-only). CLOSER NOT TRIGGERED: literal substring presence of R20/R27/R31 in col K = prior R4-session *pending* mentions, NOT completed passes -&gt; must not auto-close on substring match. Actual completed: R4 + R24 only; R27 pass outstanding; R20/R31 scope-dependent. SCOPE GATE (carried from R4 session, still unresolved): live TA-036 col B='R24/R4/R27' (3 files) vs brief Step-5 closer/create-block=5 files (adds R20/R31). Owner to reconcile 3-file vs 5-file scope before close. Status remains OPEN.
Session (R27), 24 Jun 2026: LC76_Bush_Mechanics_Guide.html (130,045-&gt;130,066 B, Opus). Fetched SHA-pinned (main=5fdf6f4, past brief's acafe4b; SHA-pinned vs main byte-identical, no CDN divergence; Denso baseline=3 matched brief). 3 surgical edits: (1) first-mention FULL form 'Denso VE'-&gt;'Bosch VE (Denso-built)' (l.1022); (2) not-to-do note 'Denso VE'-&gt;'Bosch VE' (l.1314, short form); (3) forward-looking action item (l.1027) 'Denso-trained diesel fuel-injection specialist'-&gt;'diesel fuel-injection specialist (VE-pump experience)' — owner-confirmed genericisation per supplier-naming discipline (drops manufacturer-training claim, keeps VE-pump qualification). Denso reconciled 3-&gt;1 (comp para '(Denso-built)' first-mention only); Bosch VE=2. div 815/815; JS node --check OK; +21 B. No R27 date element (date-bump no-op). index.html already 24 Jun 2026 (no bump); no sw.js bump (content-only). SCOPE GATE RESOLVED (owner 'hold', 24 Jun 2026): TA-036 scope amended R24/R4/R27 -&gt; R24/R4/R27/R20/R31 (5-file, per brief Step 5); col B/C updated. Completed: R4+R24+R27. PENDING: R20 (Denso=1) + R31 (Denso=2) Bosch-VE naming pass. Status remains OPEN pending R20/R31.
Session (R31), 24 Jun 2026: LC76_Upgrade_Assessment.html (43,763-&gt;43,777 B, Opus). Fetched SHA-pinned (main=268c31d, past brief's acafe4b; SHA-pinned == main head, byte-identical, no CDN divergence; Denso baseline=2 matched brief). 2 surgical edits: (1) first-mention FULL form 'Denso VE'-&gt;'Bosch VE (Denso-built)' (l.285); (2) ECU-tuning para 'Denso VE'-&gt;'Bosch VE' (l.408, short form). Denso reconciled 2-&gt;1 (l.285 '(Denso-built)' first-mention only); Bosch VE=2. div 136/136; JS node --check OK; +14 B. Masthead 'Last Updated: June 2026' month unchanged (session 24 Jun) -&gt; date-bump no-op per brief Step 3. index.html already 24 Jun 2026 (no bump); no sw.js bump (content-only). CLOSER NOT TRIGGERED: completed passes now R4+R24+R27+R31 (4 of 5); R20 (Denso=1) Bosch-VE naming pass still PENDING — per R24-session caution, substring presence of R20 in col K is a pending mention not a completed pass; do not auto-close. OUT-OF-SCOPE FLAG (not edited): l.285 'Current calibration: Mar 2025, dyno verified 118 kW/373 Nm' + l.408 'specialist dyno tuning (Mar 2025...)' arguably stale after Jun 2026 Udel pump bench-rebuild+recal (cf TA-030 'R&amp;R Jun 2026, not re-tested') — flagged for owner, separate from naming task. Status remains OPEN pending R20.
Session (R20), 24 Jun 2026: LC76_Seal_Gasket_Atlas.html — Bosch-VE naming pass VERIFIED COMPLETE in live repo at HEAD 9b229c3 (committed 24 Jun 2026 14:15Z). Live inspection: first-mention canonical 'Bosch VE (Denso-built) rotary injection pump' present (l.740); Denso=1 (parenthetical only), Bosch VE=1; masthead bumped 'Last updated: 24 June 2026'. PROVENANCE NOTE: R20 naming edit was committed directly to the repo OUTSIDE any logged TA-036 session — no separate R20 edit-session record exists in these papers; completion established by file inspection at HEAD, not by a session log. CLOSER NOW SATISFIED: completed/verified passes = R4 + R24 + R27 + R31 + R20 = 5 of 5 scoped files, all confirmed first-mention canonical. This R20 'Session (Rxx)' line records a verified-complete pass (distinct from earlier substring-presence pending mentions). TA-036 CLOSED.</t>
        </is>
      </c>
      <c r="L38" s="42" t="inlineStr">
        <is>
          <t>Closed</t>
        </is>
      </c>
    </row>
    <row r="39">
      <c r="A39" s="20" t="inlineStr">
        <is>
          <t>TA-037</t>
        </is>
      </c>
      <c r="B39" s="20" t="inlineStr">
        <is>
          <t>LC76_Facts.txt</t>
        </is>
      </c>
      <c r="C39" s="20" t="inlineStr">
        <is>
          <t>—</t>
        </is>
      </c>
      <c r="D39" s="20" t="inlineStr">
        <is>
          <t>§8 electrical / §2 odometer</t>
        </is>
      </c>
      <c r="E39" s="20" t="inlineStr">
        <is>
          <t>LiFePO4 install recorded "July 2026 @ 311,000 km" but §2 current odometer is 310,412 km (19 Jun 2026). If 311,000 is an actual reading at install it supersedes §2 and all current-odometer citations.</t>
        </is>
      </c>
      <c r="F39" s="41" t="inlineStr">
        <is>
          <t>L</t>
        </is>
      </c>
      <c r="G39" s="20" t="inlineStr">
        <is>
          <t>Facts.txt internal inconsistency (audit Jul 2026, HEAD 90f846b0)</t>
        </is>
      </c>
      <c r="H39" s="20" t="inlineStr">
        <is>
          <t>Owner to confirm: reading vs projection</t>
        </is>
      </c>
      <c r="I39" s="20" t="inlineStr">
        <is>
          <t>Owner-gated</t>
        </is>
      </c>
      <c r="J39" s="41" t="inlineStr">
        <is>
          <t>RESOLVED (G1) — actual reading, supersedes</t>
        </is>
      </c>
      <c r="K39" s="20" t="inlineStr">
        <is>
          <t>RS-1 session, 3 Jul 2026 (HEAD 2a9e29d): G1 RESOLVED — 311,000 km confirmed ACTUAL reading at LiFePO4 install (Jul 2026); supersedes 310,412 (19 Jun) as current odometer. Census-first sweep at HEAD across all 54 files. Facts.txt §2 updated: current odo -&gt; 311,000 (read Jul 2026 at LiFePO4 install); derived km-since recomputed (turbo ~86,594; cambelt 37,977; clutch ~14,500; gearbox 39,800; injectors/pump ~588 — '0 km' no longer literal); §8 now agrees with §2. Propagated current-odo to: R19 masthead, R34 masthead, R27 masthead, R22 masthead + 2 in-text current-odo ('any original water pump' / thermostat), R28 masthead, R11 odometer cell, R20 masthead (+ date 24 Jun-&gt;3 Jul), R23 (13 edits: reference tag, belt derived 37,977, lift-pump line, coolant 17,051, gearbox/transfer/diffs/UJs/bearings 39,800, brake fluid 17,051, '0 km since recon/rebuild' -&gt; ~588, footer ~311,000 + Jul 2026), R8 Current-Odometer tile 311,000km + tyre derived 45,684-&gt;46,272 (Set 4 on-set, fit base 264,728). HISTORICAL preserved: all Udel @310,412 event citations (R18 x3, R4, R24, R8s, R3, R27 L1009, R23 x9, Facts), exhaust 309,968, recon 224,406, ledger. Next-service ~315,000 unchanged. Audit HTMLs untouched (point-in-time). Project_Instructions.txt (owner-maintained) still cites 310,412 — revised block offered to owner. NOTE: LiFePO4 install (Manjaro) has no R8/ledger entry — Facts §8 is its record; ledger addition is an owner call. Validation: div balance OK all 12 edited HTML, JS node --check OK, residual 310,412 = historical-only. TA-037 CLOSED.</t>
        </is>
      </c>
      <c r="L39" s="20" t="inlineStr">
        <is>
          <t>Closed</t>
        </is>
      </c>
    </row>
    <row r="40">
      <c r="A40" s="20" t="inlineStr">
        <is>
          <t>TA-038</t>
        </is>
      </c>
      <c r="B40" s="20" t="inlineStr">
        <is>
          <t>LC76_Bush_Mechanics_Guide.html</t>
        </is>
      </c>
      <c r="C40" s="20" t="inlineStr">
        <is>
          <t>R27</t>
        </is>
      </c>
      <c r="D40" s="20" t="inlineStr">
        <is>
          <t>Jack/stand equipment spec</t>
        </is>
      </c>
      <c r="E40" s="20" t="inlineStr">
        <is>
          <t>Jack &amp; axle-stand minimum rating "2,160 kg" pegged to superseded kerb estimate; kerb possibly ~2,299 kg (both provisional pending weighbridge, TA-002). Recommend spec ≥2.5t rated equipment.</t>
        </is>
      </c>
      <c r="F40" s="41" t="inlineStr">
        <is>
          <t>M</t>
        </is>
      </c>
      <c r="G40" s="20" t="inlineStr">
        <is>
          <t>R27 vs Packing Guide kerb figures</t>
        </is>
      </c>
      <c r="H40" s="20" t="inlineStr">
        <is>
          <t>Weighbridge pending (TA-002)</t>
        </is>
      </c>
      <c r="I40" s="20" t="inlineStr">
        <is>
          <t>Owner-gated</t>
        </is>
      </c>
      <c r="J40" s="41" t="inlineStr">
        <is>
          <t>Closed</t>
        </is>
      </c>
      <c r="K40" s="20" t="inlineStr">
        <is>
          <t>RS-1 session, 3 Jul 2026: G2 RESOLVED by owner — jack/axle-stand minimum revised to &gt;=2.5 t rated equipment, with provisional-kerb caveat (~2,299 kg, weighbridge pending TA-002). Execution scheduled in RS-3 (R27 dedicated session, 130 KB). Status remains Open until R27 edit lands. || RS-3 session, 3 Jul 2026: EXECUTED — R27 checklist item 12 revised to '&gt;=2.5 t, inspected' with provisional-kerb caveat (~2,299 kg, weighbridge pending). TA-038 CLOSED.</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H1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20" min="1" max="1"/>
    <col width="30" customWidth="1" style="20" min="2" max="2"/>
    <col width="8" customWidth="1" style="20" min="3" max="3"/>
    <col width="28" customWidth="1" style="20" min="4" max="4"/>
    <col width="9" customWidth="1" style="20" min="5" max="5"/>
    <col width="52" customWidth="1" style="20" min="6" max="6"/>
    <col width="14" customWidth="1" style="20" min="7" max="7"/>
    <col width="9" customWidth="1" style="20" min="8" max="8"/>
  </cols>
  <sheetData>
    <row r="1" ht="15" customHeight="1" s="21">
      <c r="A1" s="31" t="inlineStr">
        <is>
          <t>ID</t>
        </is>
      </c>
      <c r="B1" s="31" t="inlineStr">
        <is>
          <t>File</t>
        </is>
      </c>
      <c r="C1" s="31" t="inlineStr">
        <is>
          <t>Pattern</t>
        </is>
      </c>
      <c r="D1" s="31" t="inlineStr">
        <is>
          <t>Check item</t>
        </is>
      </c>
      <c r="E1" s="31" t="inlineStr">
        <is>
          <t>Result</t>
        </is>
      </c>
      <c r="F1" s="31" t="inlineStr">
        <is>
          <t>Defect / note</t>
        </is>
      </c>
      <c r="G1" s="31" t="inlineStr">
        <is>
          <t>Method</t>
        </is>
      </c>
      <c r="H1" s="31" t="inlineStr">
        <is>
          <t>Status</t>
        </is>
      </c>
    </row>
    <row r="2" ht="15" customHeight="1" s="21">
      <c r="A2" s="32" t="inlineStr">
        <is>
          <t>LX-001</t>
        </is>
      </c>
      <c r="B2" s="32" t="inlineStr">
        <is>
          <t>LC76_Design_Guidelines.html</t>
        </is>
      </c>
      <c r="C2" s="32" t="inlineStr">
        <is>
          <t>A</t>
        </is>
      </c>
      <c r="D2" s="32" t="inlineStr">
        <is>
          <t>Version current</t>
        </is>
      </c>
      <c r="E2" s="34" t="inlineStr">
        <is>
          <t>RESOLVED</t>
        </is>
      </c>
      <c r="F2" s="32" t="inlineStr">
        <is>
          <t>Live still v1.2; drafted v1.3 never committed (=F13) | RESOLVED 23 Jun 2026: v1.4 committed (title/masthead/footer, June 2026); v1.3 draft superseded.</t>
        </is>
      </c>
      <c r="G2" s="32" t="inlineStr">
        <is>
          <t>Deterministic</t>
        </is>
      </c>
      <c r="H2" s="32" t="inlineStr">
        <is>
          <t>Closed</t>
        </is>
      </c>
    </row>
    <row r="3" ht="23.25" customHeight="1" s="21">
      <c r="A3" s="32" t="inlineStr">
        <is>
          <t>LX-002</t>
        </is>
      </c>
      <c r="B3" s="32" t="inlineStr">
        <is>
          <t>LC76_Design_Guidelines.html</t>
        </is>
      </c>
      <c r="C3" s="32" t="inlineStr">
        <is>
          <t>A</t>
        </is>
      </c>
      <c r="D3" s="32" t="inlineStr">
        <is>
          <t>Sticky-wrap background slab</t>
        </is>
      </c>
      <c r="E3" s="34" t="inlineStr">
        <is>
          <t>RESOLVED</t>
        </is>
      </c>
      <c r="F3" s="32" t="inlineStr">
        <is>
          <t>No ::before background slab on sticky container — DG's own sticky-bg defect (=F13) | RESOLVED 23 Jun 2026: .sticky-nav-unit given background + ::before 100vh slab (R32 pattern); print suppressed via ::before{content:none}.</t>
        </is>
      </c>
      <c r="G3" s="32" t="inlineStr">
        <is>
          <t>Deterministic</t>
        </is>
      </c>
      <c r="H3" s="32" t="inlineStr">
        <is>
          <t>Closed</t>
        </is>
      </c>
    </row>
    <row r="4" ht="23.25" customHeight="1" s="21">
      <c r="A4" s="32" t="inlineStr">
        <is>
          <t>LX-003</t>
        </is>
      </c>
      <c r="B4" s="32" t="inlineStr">
        <is>
          <t>LC76_Design_Guidelines.html</t>
        </is>
      </c>
      <c r="C4" s="32" t="inlineStr">
        <is>
          <t>A</t>
        </is>
      </c>
      <c r="D4" s="32" t="inlineStr">
        <is>
          <t>overflow-x on html not body</t>
        </is>
      </c>
      <c r="E4" s="35" t="inlineStr">
        <is>
          <t>PASS</t>
        </is>
      </c>
      <c r="F4" s="32" t="inlineStr">
        <is>
          <t>body{overflow-x:hidden} present — confirm live-CSS (defect, breaks Safari sticky) vs documented anti-pattern example | RESOLVED 23 Jun 2026: live CSS confirmed html{overflow-x:hidden} (compliant). The body{overflow-x:hidden} hits are the documented anti-pattern example, not live CSS — false positive. No code change needed.</t>
        </is>
      </c>
      <c r="G4" s="32" t="inlineStr">
        <is>
          <t>Det + read</t>
        </is>
      </c>
      <c r="H4" s="32" t="inlineStr">
        <is>
          <t>Closed</t>
        </is>
      </c>
    </row>
    <row r="5" ht="23.25" customHeight="1" s="21">
      <c r="A5" s="32" t="inlineStr">
        <is>
          <t>LX-004</t>
        </is>
      </c>
      <c r="B5" s="32" t="inlineStr">
        <is>
          <t>LC76_Design_Guidelines.html</t>
        </is>
      </c>
      <c r="C5" s="32" t="inlineStr">
        <is>
          <t>A</t>
        </is>
      </c>
      <c r="D5" s="32" t="inlineStr">
        <is>
          <t>No fixed-px content max-width</t>
        </is>
      </c>
      <c r="E5" s="35" t="inlineStr">
        <is>
          <t>PASS</t>
        </is>
      </c>
      <c r="F5" s="32" t="inlineStr">
        <is>
          <t>False positive (verified 24 Jun 2026). Both max-width:600px hits are the @media mobile breakpoint (l.130) and a &lt;pre&gt; code example (l.550). Content container .content uses max-width:100% + percentage padding; do/don't blocks correctly state the no-fixed-px-cap rule. No defect.</t>
        </is>
      </c>
      <c r="G5" s="32" t="inlineStr">
        <is>
          <t>Det + read</t>
        </is>
      </c>
      <c r="H5" s="32" t="inlineStr">
        <is>
          <t>Closed</t>
        </is>
      </c>
    </row>
    <row r="6" ht="26.25" customHeight="1" s="21">
      <c r="A6" s="32" t="inlineStr">
        <is>
          <t>LX-005</t>
        </is>
      </c>
      <c r="B6" s="32" t="inlineStr">
        <is>
          <t>R26,R32,R33</t>
        </is>
      </c>
      <c r="C6" s="32" t="inlineStr">
        <is>
          <t>A</t>
        </is>
      </c>
      <c r="D6" s="32" t="inlineStr">
        <is>
          <t>Mobile sticky-fix on-device</t>
        </is>
      </c>
      <c r="E6" s="37" t="inlineStr">
        <is>
          <t>CARRIED</t>
        </is>
      </c>
      <c r="F6" s="32" t="inlineStr">
        <is>
          <t>Sticky-fix delivered; on-device PWA verification pending (owner). Promote to DG v1.4 once confirmed. | Owner confirmed on-device PWA pass 21 Jun 2026 (R26/R32/R33 sticky fix). CLOSED. Pattern to be promoted to Design Guidelines v1.4.</t>
        </is>
      </c>
      <c r="G6" s="32" t="inlineStr">
        <is>
          <t>On-device (Neil)</t>
        </is>
      </c>
      <c r="H6" s="32" t="inlineStr">
        <is>
          <t>Closed</t>
        </is>
      </c>
    </row>
    <row r="7" ht="15" customHeight="1" s="21">
      <c r="A7" s="20" t="inlineStr">
        <is>
          <t>LX-006</t>
        </is>
      </c>
      <c r="B7" s="20" t="inlineStr">
        <is>
          <t>LC76_Tyre_Pressure_Calculator.html</t>
        </is>
      </c>
      <c r="C7" s="20" t="inlineStr">
        <is>
          <t>B?</t>
        </is>
      </c>
      <c r="D7" s="20" t="inlineStr">
        <is>
          <t>Calculator palette conformance</t>
        </is>
      </c>
      <c r="E7" s="40" t="inlineStr">
        <is>
          <t>RESOLVED</t>
        </is>
      </c>
      <c r="F7" s="20" t="inlineStr">
        <is>
          <t>Repaletted to warm Pattern-B, 24 Jun 2026. Role-aware remap of ~90 reference-token usages: --amber2-&gt;--clay (hero accent), --amber-&gt;--ochre, --rule-&gt;--border, --steelmd-&gt;--smoke, --paper-&gt;--cream, --paper2-&gt;--white, --steeldk-&gt; --bark (3 surfaces) / --ink (13 text); warm tokens added to :root, --ink/--white warmed. Validated: 0 residual reference-token usages, div 101/101, JS node --check OK. Print header border remapped to --clay to match screen.</t>
        </is>
      </c>
      <c r="G7" s="20" t="inlineStr">
        <is>
          <t>Deterministic</t>
        </is>
      </c>
      <c r="H7" s="20" t="inlineStr">
        <is>
          <t>Closed</t>
        </is>
      </c>
    </row>
    <row r="8" ht="15" customHeight="1" s="21">
      <c r="A8" s="20" t="inlineStr">
        <is>
          <t>LX-007</t>
        </is>
      </c>
      <c r="B8" s="20" t="inlineStr">
        <is>
          <t>All 6 calculators</t>
        </is>
      </c>
      <c r="C8" s="20" t="inlineStr">
        <is>
          <t>B</t>
        </is>
      </c>
      <c r="D8" s="20" t="inlineStr">
        <is>
          <t>Home-pill / index-nav consistency</t>
        </is>
      </c>
      <c r="E8" s="27" t="inlineStr">
        <is>
          <t>RESOLVED</t>
        </is>
      </c>
      <c r="F8" s="20" t="inlineStr">
        <is>
          <t>Owner decision: strip from all. Removed anchor + CSS (base + :hover/:active + comment) from Tyre Pressure, Fuel Log, Water, LiFePO4; Fuel Range &amp; Trip already clean. All 6 now pill-free. JS/div validated.</t>
        </is>
      </c>
      <c r="G8" s="20" t="inlineStr">
        <is>
          <t>Det + decision</t>
        </is>
      </c>
      <c r="H8" s="27" t="inlineStr">
        <is>
          <t>Closed</t>
        </is>
      </c>
    </row>
    <row r="9">
      <c r="A9" s="20" t="inlineStr">
        <is>
          <t>LX-008</t>
        </is>
      </c>
      <c r="B9" s="20" t="inlineStr">
        <is>
          <t>~47 files + Design Guidelines</t>
        </is>
      </c>
      <c r="C9" s="20" t="inlineStr">
        <is>
          <t>B</t>
        </is>
      </c>
      <c r="D9" s="20" t="inlineStr">
        <is>
          <t>v1.4 mobile sticky pattern rollout</t>
        </is>
      </c>
      <c r="E9" s="27" t="inlineStr">
        <is>
          <t>OPEN</t>
        </is>
      </c>
      <c r="F9" s="20" t="inlineStr">
        <is>
          <t>Validated pattern (clip+slab+overscroll+safe-area+print guard) present in only 6 files. Guidelines not yet promoted to v1.4; own body-overflow defect outstanding; cites retired R33 ×2.</t>
        </is>
      </c>
      <c r="G9" s="20" t="inlineStr">
        <is>
          <t>Det (matrix, HEAD 90f846b0)</t>
        </is>
      </c>
      <c r="H9" s="27" t="inlineStr">
        <is>
          <t>Open — RS-8/9 (F28, F29)</t>
        </is>
      </c>
    </row>
    <row r="10">
      <c r="A10" s="20" t="inlineStr">
        <is>
          <t>LX-009</t>
        </is>
      </c>
      <c r="B10" s="20" t="inlineStr">
        <is>
          <t>R7, R9, R10, Trip Fuel Planner, index</t>
        </is>
      </c>
      <c r="C10" s="20" t="inlineStr">
        <is>
          <t>B</t>
        </is>
      </c>
      <c r="D10" s="20" t="inlineStr">
        <is>
          <t>Fixed-px main-container width caps</t>
        </is>
      </c>
      <c r="E10" s="27" t="inlineStr">
        <is>
          <t>OPEN</t>
        </is>
      </c>
      <c r="F10" s="20" t="inlineStr">
        <is>
          <t>Breach of max-width:100% rule: R7 body 1100px, R10 main 1200px, R9 main 1400px, planner .page 1100px, index main 1200px.</t>
        </is>
      </c>
      <c r="G10" s="20" t="inlineStr">
        <is>
          <t>Det</t>
        </is>
      </c>
      <c r="H10" s="27" t="inlineStr">
        <is>
          <t>Open — RS-6 (F30)</t>
        </is>
      </c>
    </row>
    <row r="11">
      <c r="A11" s="20" t="inlineStr">
        <is>
          <t>LX-010</t>
        </is>
      </c>
      <c r="B11" s="20" t="inlineStr">
        <is>
          <t>R5, R7, Karoo itinerary</t>
        </is>
      </c>
      <c r="C11" s="20" t="inlineStr">
        <is>
          <t>B</t>
        </is>
      </c>
      <c r="D11" s="20" t="inlineStr">
        <is>
          <t>Off-system typography</t>
        </is>
      </c>
      <c r="E11" s="27" t="inlineStr">
        <is>
          <t>OPEN</t>
        </is>
      </c>
      <c r="F11" s="20" t="inlineStr">
        <is>
          <t>R5 DM Serif Display + IBM Plex Sans; R7 Playfair ×7; Karoo Playfair+Georgia. R5/R7 inherited pre-system styling through spec-swap sessions.</t>
        </is>
      </c>
      <c r="G11" s="20" t="inlineStr">
        <is>
          <t>Det</t>
        </is>
      </c>
      <c r="H11" s="27" t="inlineStr">
        <is>
          <t>Open — RS-6/7, gate G3 (F31)</t>
        </is>
      </c>
    </row>
    <row r="12">
      <c r="A12" s="20" t="inlineStr">
        <is>
          <t>LX-011</t>
        </is>
      </c>
      <c r="B12" s="20" t="inlineStr">
        <is>
          <t>R4, Zambia profile</t>
        </is>
      </c>
      <c r="C12" s="20" t="inlineStr">
        <is>
          <t>B</t>
        </is>
      </c>
      <c r="D12" s="20" t="inlineStr">
        <is>
          <t>Div balance failures</t>
        </is>
      </c>
      <c r="E12" s="27" t="inlineStr">
        <is>
          <t>OPEN</t>
        </is>
      </c>
      <c r="F12" s="20" t="inlineStr">
        <is>
          <t>R4: 939/942 (−3). Zambia: 324/325 (−1). All other files balanced; all inline JS passes node --check.</t>
        </is>
      </c>
      <c r="G12" s="20" t="inlineStr">
        <is>
          <t>Det (gate run, 54 files)</t>
        </is>
      </c>
      <c r="H12" s="27" t="inlineStr">
        <is>
          <t>Open — RS-10/11 (F35)</t>
        </is>
      </c>
    </row>
    <row r="13">
      <c r="A13" s="20" t="inlineStr">
        <is>
          <t>LX-012</t>
        </is>
      </c>
      <c r="B13" s="20" t="inlineStr">
        <is>
          <t>4 calculators + Karoo</t>
        </is>
      </c>
      <c r="C13" s="20" t="inlineStr">
        <is>
          <t>B</t>
        </is>
      </c>
      <c r="D13" s="20" t="inlineStr">
        <is>
          <t>print-color-adjust / safe-area gaps</t>
        </is>
      </c>
      <c r="E13" s="27" t="inlineStr">
        <is>
          <t>OPEN</t>
        </is>
      </c>
      <c r="F13" s="20" t="inlineStr">
        <is>
          <t>Fuel Range, LiFePO4, Trip Fuel Planner, Water Budget calculators lack print-color-adjust; Karoo lacks safe-area-inset-top.</t>
        </is>
      </c>
      <c r="G13" s="20" t="inlineStr">
        <is>
          <t>Det</t>
        </is>
      </c>
      <c r="H13" s="27" t="inlineStr">
        <is>
          <t>Open — RS-6 (F32, F33)</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F12"/>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20" min="1" max="1"/>
    <col width="52" customWidth="1" style="20" min="2" max="2"/>
    <col width="24" customWidth="1" style="20" min="3" max="3"/>
    <col width="60" customWidth="1" style="20" min="4" max="4"/>
    <col width="12" customWidth="1" style="20" min="5" max="5"/>
    <col width="34" customWidth="1" style="20" min="6" max="6"/>
  </cols>
  <sheetData>
    <row r="1" ht="15" customHeight="1" s="21">
      <c r="A1" s="31" t="inlineStr">
        <is>
          <t>Ref</t>
        </is>
      </c>
      <c r="B1" s="31" t="inlineStr">
        <is>
          <t>Source</t>
        </is>
      </c>
      <c r="C1" s="31" t="inlineStr">
        <is>
          <t>Type / Tier</t>
        </is>
      </c>
      <c r="D1" s="31" t="inlineStr">
        <is>
          <t>Locator</t>
        </is>
      </c>
      <c r="E1" s="31" t="inlineStr">
        <is>
          <t>Fetched</t>
        </is>
      </c>
      <c r="F1" s="31" t="inlineStr">
        <is>
          <t>Used for</t>
        </is>
      </c>
    </row>
    <row r="2" ht="23.25" customHeight="1" s="21">
      <c r="A2" s="32" t="inlineStr">
        <is>
          <t>EV-01</t>
        </is>
      </c>
      <c r="B2" s="32" t="inlineStr">
        <is>
          <t>Toyota FSM RM617E — 1HZ/1HD-T/1HD-FTE Engine Repair Manual (Jan 1998)</t>
        </is>
      </c>
      <c r="C2" s="32" t="inlineStr">
        <is>
          <t>Tier 1 — primary (engine)</t>
        </is>
      </c>
      <c r="D2" s="32" t="inlineStr">
        <is>
          <t>Uploaded PDF (scanned). Section map p5; SS-1=PDF p71 (offset 70); SS-3 p73 valve/compression/rpm; SS-8 p78 torque</t>
        </is>
      </c>
      <c r="E2" s="32" t="inlineStr">
        <is>
          <t>18 Jun 2026</t>
        </is>
      </c>
      <c r="F2" s="32" t="inlineStr">
        <is>
          <t>TA-000, TA-001; engine tranche</t>
        </is>
      </c>
    </row>
    <row r="3" ht="23.25" customHeight="1" s="21">
      <c r="A3" s="32" t="inlineStr">
        <is>
          <t>EV-02</t>
        </is>
      </c>
      <c r="B3" s="32" t="inlineStr">
        <is>
          <t>Toyota RM730E 'Land Cruiser (H/T)' via toyotamanuals.gitlab.io/RM0584E</t>
        </is>
      </c>
      <c r="C3" s="32" t="inlineStr">
        <is>
          <t>Tier 1 — primary (chassis)</t>
        </is>
      </c>
      <c r="D3" s="32" t="inlineStr">
        <is>
          <t>Per-section text PDFs, e.g. .../rm730e/m_ss_0016.pdf (suspension/axle torque: hub nut 209 N·m, U-bolt 142 N·m)</t>
        </is>
      </c>
      <c r="E3" s="32" t="inlineStr">
        <is>
          <t>18 Jun 2026</t>
        </is>
      </c>
      <c r="F3" s="32" t="inlineStr">
        <is>
          <t>Chassis specs — R13/R25/R34 (tranche 3/2)</t>
        </is>
      </c>
    </row>
    <row r="4" ht="23.25" customHeight="1" s="21">
      <c r="A4" s="32" t="inlineStr">
        <is>
          <t>EV-03</t>
        </is>
      </c>
      <c r="B4" s="32" t="inlineStr">
        <is>
          <t>Live GitHub repo — Register, Facts.txt, 49 in-scope files</t>
        </is>
      </c>
      <c r="C4" s="32" t="inlineStr">
        <is>
          <t>Internal canonical</t>
        </is>
      </c>
      <c r="D4" s="32" t="inlineStr">
        <is>
          <t>raw.githubusercontent.com/Overlandslabs/Consumption/main</t>
        </is>
      </c>
      <c r="E4" s="32" t="inlineStr">
        <is>
          <t>18 Jun 2026</t>
        </is>
      </c>
      <c r="F4" s="32" t="inlineStr">
        <is>
          <t>Concordance; population/availability check</t>
        </is>
      </c>
    </row>
    <row r="5" ht="23.25" customHeight="1" s="21">
      <c r="A5" s="32" t="inlineStr">
        <is>
          <t>EV-04</t>
        </is>
      </c>
      <c r="B5" s="32" t="inlineStr">
        <is>
          <t>Vendor datasheets (OME/ARB, Maxxis, Victron, Terrain Tamer, SAC, Powerflow)</t>
        </is>
      </c>
      <c r="C5" s="32" t="inlineStr">
        <is>
          <t>Tier 1 — primary (aftermarket)</t>
        </is>
      </c>
      <c r="D5" s="32" t="inlineStr">
        <is>
          <t>To be fetched per assertion</t>
        </is>
      </c>
      <c r="E5" s="32" t="inlineStr">
        <is>
          <t>pending</t>
        </is>
      </c>
      <c r="F5" s="32" t="inlineStr">
        <is>
          <t>Aftermarket-part specs across tranches</t>
        </is>
      </c>
    </row>
    <row r="6" ht="15" customHeight="1" s="21">
      <c r="A6" s="20" t="inlineStr">
        <is>
          <t>EV-05</t>
        </is>
      </c>
      <c r="B6" s="20" t="inlineStr">
        <is>
          <t>Maxxis RAZR AT811 — tyre line data (maxxis.com) + LT265/70R16 load/inflation</t>
        </is>
      </c>
      <c r="C6" s="20" t="inlineStr">
        <is>
          <t>Tier 1 — primary (aftermarket)</t>
        </is>
      </c>
      <c r="D6" s="20" t="inlineStr">
        <is>
          <t>LT265/70R16 121/118S Load E, 80psi/552kPa max, 1,449kg/tyre @80psi (vs 44psi 112T std-load variant)</t>
        </is>
      </c>
      <c r="E6" s="20" t="inlineStr">
        <is>
          <t>19 Jun 2026</t>
        </is>
      </c>
      <c r="F6" s="20" t="inlineStr">
        <is>
          <t>TA-007; tyre-pressure baseline envelope</t>
        </is>
      </c>
    </row>
    <row r="7" ht="15" customHeight="1" s="21">
      <c r="A7" s="20" t="inlineStr">
        <is>
          <t>EV-06</t>
        </is>
      </c>
      <c r="B7" s="20" t="inlineStr">
        <is>
          <t>Toyota brake-fluid spec (FMVSS 116 DOT 3/4) + 70-series LSPV bleed practice</t>
        </is>
      </c>
      <c r="C7" s="20" t="inlineStr">
        <is>
          <t>Tier-2/3 corroborative</t>
        </is>
      </c>
      <c r="D7" s="20" t="inlineStr">
        <is>
          <t>Contemporary Toyota RM brake-fluid page (FJ era) + IH8MUD/YotaTech 70-series bleed threads. RM730E m_br page = Tier-1, NOT yet located via search — needs deep-link.</t>
        </is>
      </c>
      <c r="E7" s="20" t="inlineStr">
        <is>
          <t>19 Jun 2026</t>
        </is>
      </c>
      <c r="F7" s="20" t="inlineStr">
        <is>
          <t>TA-011 (R34 fluid/bleed/LSPV)</t>
        </is>
      </c>
    </row>
    <row r="8" ht="15" customHeight="1" s="21">
      <c r="A8" s="20" t="inlineStr">
        <is>
          <t>EV-07</t>
        </is>
      </c>
      <c r="B8" s="20" t="inlineStr">
        <is>
          <t>African Snakebite Institute (africansnakebiteinstitute.com) + CDC Yellow Book / WHO</t>
        </is>
      </c>
      <c r="C8" s="20" t="inlineStr">
        <is>
          <t>Tier-1/2 — recognised authorities</t>
        </is>
      </c>
      <c r="D8" s="20" t="inlineStr">
        <is>
          <t>ASI first-aid + pressure-immobilisation + Green Mamba pages; CDC/WHO malaria prophylaxis standard</t>
        </is>
      </c>
      <c r="E8" s="20" t="inlineStr">
        <is>
          <t>19 Jun 2026</t>
        </is>
      </c>
      <c r="F8" s="20" t="inlineStr">
        <is>
          <t>TA-012 (R17), TA-013 (R10 §5)</t>
        </is>
      </c>
    </row>
    <row r="9" ht="15" customHeight="1" s="21">
      <c r="A9" s="20" t="inlineStr">
        <is>
          <t>EV-08</t>
        </is>
      </c>
      <c r="B9" s="20" t="inlineStr">
        <is>
          <t>Recognised dangerous-game encounter guidance (FGASA-referenced field-guide sources)</t>
        </is>
      </c>
      <c r="C9" s="20" t="inlineStr">
        <is>
          <t>Tier-2 — recognised</t>
        </is>
      </c>
      <c r="D9" s="20" t="inlineStr">
        <is>
          <t>Elephant mock/real charge signs corroborated across News24, Green Safaris guide, FGASA-referenced material</t>
        </is>
      </c>
      <c r="E9" s="20" t="inlineStr">
        <is>
          <t>19 Jun 2026</t>
        </is>
      </c>
      <c r="F9" s="20" t="inlineStr">
        <is>
          <t>TA-014 (R36)</t>
        </is>
      </c>
    </row>
    <row r="10" ht="15" customHeight="1" s="21">
      <c r="A10" s="20" t="inlineStr">
        <is>
          <t>EV-09</t>
        </is>
      </c>
      <c r="B10" s="20" t="inlineStr">
        <is>
          <t>4x4 recovery standards (RACQ, 4x4 Australia, AfMA, CarsGuide, Saber Offroad)</t>
        </is>
      </c>
      <c r="C10" s="20" t="inlineStr">
        <is>
          <t>Tier-2 — recognised</t>
        </is>
      </c>
      <c r="D10" s="20" t="inlineStr">
        <is>
          <t>Snatch-strap MBS 2–3× GVM; tow-ball shear/projectile fatalities; dampener &amp; rated-point doctrine</t>
        </is>
      </c>
      <c r="E10" s="20" t="inlineStr">
        <is>
          <t>19 Jun 2026</t>
        </is>
      </c>
      <c r="F10" s="20" t="inlineStr">
        <is>
          <t>TA-015 (R9)</t>
        </is>
      </c>
    </row>
    <row r="11" ht="15" customHeight="1" s="21">
      <c r="A11" s="20" t="inlineStr">
        <is>
          <t>EV-10</t>
        </is>
      </c>
      <c r="B11" s="20" t="inlineStr">
        <is>
          <t>Vehicle fire-safety guidance (RAC, UK Fire Service, Mobil, Fire Protection Online)</t>
        </is>
      </c>
      <c r="C11" s="20" t="inlineStr">
        <is>
          <t>Tier-2 — recognised</t>
        </is>
      </c>
      <c r="D11" s="20" t="inlineStr">
        <is>
          <t>Don't-open-bonnet (oxygen), ABC/BC dry-powder for vehicle, aim-at-base, carry two</t>
        </is>
      </c>
      <c r="E11" s="20" t="inlineStr">
        <is>
          <t>19 Jun 2026</t>
        </is>
      </c>
      <c r="F11" s="20" t="inlineStr">
        <is>
          <t>TA-016 (R35)</t>
        </is>
      </c>
    </row>
    <row r="12" ht="15" customHeight="1" s="21">
      <c r="A12" s="20" t="inlineStr">
        <is>
          <t>EV-11</t>
        </is>
      </c>
      <c r="B12" s="20" t="inlineStr">
        <is>
          <t>Resus Council UK / ANZCOR / American Red Cross / AHA resuscitation guidelines</t>
        </is>
      </c>
      <c r="C12" s="20" t="inlineStr">
        <is>
          <t>Tier-1/2 — recognised</t>
        </is>
      </c>
      <c r="D12" s="20" t="inlineStr">
        <is>
          <t>Adult CPR 30:2 5–6cm 100–120; anaphylaxis IM adrenaline 0.5mg 1:1000 thigh, lie flat, repeat 5min; drowning ventilations-first 5 breaths then 30:2; choking 5 back-blows/5 thrusts</t>
        </is>
      </c>
      <c r="E12" s="20" t="inlineStr">
        <is>
          <t>19 Jun 2026</t>
        </is>
      </c>
      <c r="F12" s="20" t="inlineStr">
        <is>
          <t>TA-017 protocol drafting</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2026-06-18T16:34:08Z</dcterms:created>
  <dcterms:modified xmlns:dcterms="http://purl.org/dc/terms/" xmlns:xsi="http://www.w3.org/2001/XMLSchema-instance" xsi:type="dcterms:W3CDTF">2026-07-03T18:44:56Z</dcterms:modified>
  <cp:revision>0</cp:revision>
</cp:coreProperties>
</file>