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Population" sheetId="2" state="visible" r:id="rId2"/>
    <sheet xmlns:r="http://schemas.openxmlformats.org/officeDocument/2006/relationships" name="Concordance" sheetId="3" state="visible" r:id="rId3"/>
    <sheet xmlns:r="http://schemas.openxmlformats.org/officeDocument/2006/relationships" name="TA_Register" sheetId="4" state="visible" r:id="rId4"/>
    <sheet xmlns:r="http://schemas.openxmlformats.org/officeDocument/2006/relationships" name="LX_Register" sheetId="5" state="visible" r:id="rId5"/>
    <sheet xmlns:r="http://schemas.openxmlformats.org/officeDocument/2006/relationships" name="Evidence" sheetId="6" state="visible" r:id="rId6"/>
    <sheet xmlns:r="http://schemas.openxmlformats.org/officeDocument/2006/relationships" name="EX_Register" sheetId="7" state="visible" r:id="rId7"/>
    <sheet xmlns:r="http://schemas.openxmlformats.org/officeDocument/2006/relationships" name="AoT_S1_Population" sheetId="8" state="visible" r:id="rId8"/>
    <sheet xmlns:r="http://schemas.openxmlformats.org/officeDocument/2006/relationships" name="AoT_S1_Trace" sheetId="9" state="visible" r:id="rId9"/>
    <sheet xmlns:r="http://schemas.openxmlformats.org/officeDocument/2006/relationships" name="AoT_S2_Findings" sheetId="10" state="visible" r:id="rId10"/>
    <sheet xmlns:r="http://schemas.openxmlformats.org/officeDocument/2006/relationships" name="AoT_S2_A3_Recon" sheetId="11" state="visible" r:id="rId11"/>
    <sheet xmlns:r="http://schemas.openxmlformats.org/officeDocument/2006/relationships" name="AoT_S2_XCut" sheetId="12" state="visible" r:id="rId12"/>
    <sheet xmlns:r="http://schemas.openxmlformats.org/officeDocument/2006/relationships" name="AoT_S3_Findings" sheetId="13" state="visible" r:id="rId13"/>
    <sheet xmlns:r="http://schemas.openxmlformats.org/officeDocument/2006/relationships" name="AoT_S3_ClosedLog" sheetId="14" state="visible" r:id="rId14"/>
    <sheet xmlns:r="http://schemas.openxmlformats.org/officeDocument/2006/relationships" name="AoT_S3_XCut" sheetId="15" state="visible" r:id="rId15"/>
    <sheet xmlns:r="http://schemas.openxmlformats.org/officeDocument/2006/relationships" name="AoT_S5_Remediation" sheetId="16" state="visible" r:id="rId16"/>
    <sheet xmlns:r="http://schemas.openxmlformats.org/officeDocument/2006/relationships" name="AoT_S7_Generators" sheetId="17" state="visible" r:id="rId17"/>
    <sheet xmlns:r="http://schemas.openxmlformats.org/officeDocument/2006/relationships" name="AoT_S8_Generators"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23">
    <font>
      <name val="Calibri"/>
      <charset val="1"/>
      <family val="2"/>
      <color theme="1"/>
      <sz val="11"/>
    </font>
    <font>
      <name val="Arial"/>
      <family val="0"/>
      <sz val="10"/>
    </font>
    <font>
      <name val="Arial"/>
      <family val="0"/>
      <sz val="10"/>
    </font>
    <font>
      <name val="Arial"/>
      <family val="0"/>
      <sz val="10"/>
    </font>
    <font>
      <name val="Arial"/>
      <charset val="1"/>
      <family val="0"/>
      <b val="1"/>
      <color rgb="FF1C1410"/>
      <sz val="14"/>
    </font>
    <font>
      <name val="Arial"/>
      <charset val="1"/>
      <family val="0"/>
      <i val="1"/>
      <color rgb="FF555555"/>
      <sz val="9"/>
    </font>
    <font>
      <name val="Arial"/>
      <charset val="1"/>
      <family val="0"/>
      <sz val="10"/>
    </font>
    <font>
      <name val="Arial"/>
      <charset val="1"/>
      <family val="0"/>
      <b val="1"/>
      <sz val="10"/>
    </font>
    <font>
      <name val="Arial"/>
      <charset val="1"/>
      <family val="0"/>
      <b val="1"/>
      <color rgb="FF059669"/>
      <sz val="11"/>
    </font>
    <font>
      <name val="Arial"/>
      <charset val="1"/>
      <family val="0"/>
      <b val="1"/>
      <color rgb="FFFFFFFF"/>
      <sz val="10"/>
    </font>
    <font>
      <name val="Arial"/>
      <charset val="1"/>
      <family val="0"/>
      <color rgb="FF059669"/>
      <sz val="11"/>
    </font>
    <font>
      <name val="Arial"/>
      <charset val="1"/>
      <family val="0"/>
      <b val="1"/>
      <color rgb="FFB91C1C"/>
      <sz val="11"/>
    </font>
    <font>
      <name val="Arial"/>
      <charset val="1"/>
      <family val="0"/>
      <b val="1"/>
      <color rgb="FFC05A00"/>
      <sz val="11"/>
    </font>
    <font>
      <name val="Arial"/>
      <charset val="1"/>
      <family val="0"/>
      <b val="1"/>
      <color rgb="FF6A7080"/>
      <sz val="11"/>
    </font>
    <font>
      <name val="Arial"/>
      <b val="1"/>
      <color rgb="00B91C1C"/>
    </font>
    <font>
      <name val="Arial"/>
      <b val="1"/>
      <color rgb="00059669"/>
    </font>
    <font>
      <name val="Arial"/>
      <b val="1"/>
      <color rgb="00C05A00"/>
    </font>
    <font>
      <b val="1"/>
      <color rgb="00FFFFFF"/>
      <sz val="9"/>
    </font>
    <font>
      <sz val="9"/>
    </font>
    <font>
      <b val="1"/>
      <sz val="9"/>
    </font>
    <font>
      <b val="1"/>
      <color rgb="00B86800"/>
      <sz val="9"/>
    </font>
    <font>
      <b val="1"/>
      <color rgb="00FFFFFF"/>
    </font>
    <font>
      <b val="1"/>
    </font>
  </fonts>
  <fills count="9">
    <fill>
      <patternFill/>
    </fill>
    <fill>
      <patternFill patternType="gray125"/>
    </fill>
    <fill>
      <patternFill patternType="solid">
        <fgColor rgb="FFF5EDDA"/>
        <bgColor rgb="FFFFFFFF"/>
      </patternFill>
    </fill>
    <fill>
      <patternFill patternType="solid">
        <fgColor rgb="FF2A2F3A"/>
        <bgColor rgb="FF1C1410"/>
      </patternFill>
    </fill>
    <fill>
      <patternFill patternType="solid">
        <fgColor rgb="002A2F3A"/>
      </patternFill>
    </fill>
    <fill>
      <patternFill patternType="solid">
        <fgColor rgb="00F4CCCC"/>
      </patternFill>
    </fill>
    <fill>
      <patternFill patternType="solid">
        <fgColor rgb="00FCE5CD"/>
      </patternFill>
    </fill>
    <fill>
      <patternFill patternType="solid">
        <fgColor rgb="00D9EAD3"/>
      </patternFill>
    </fill>
    <fill>
      <patternFill patternType="solid">
        <fgColor rgb="00FFF2CC"/>
      </patternFill>
    </fill>
  </fills>
  <borders count="3">
    <border>
      <left/>
      <right/>
      <top/>
      <bottom/>
      <diagonal/>
    </border>
    <border>
      <left style="thin">
        <color rgb="FFC8BFAD"/>
      </left>
      <right style="thin">
        <color rgb="FFC8BFAD"/>
      </right>
      <top style="thin">
        <color rgb="FFC8BFAD"/>
      </top>
      <bottom style="thin">
        <color rgb="FFC8BFAD"/>
      </bottom>
      <diagonal/>
    </border>
    <border>
      <left style="thin">
        <color rgb="00BBBBBB"/>
      </left>
      <right style="thin">
        <color rgb="00BBBBBB"/>
      </right>
      <top style="thin">
        <color rgb="00BBBBBB"/>
      </top>
      <bottom style="thin">
        <color rgb="00BBBBB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0" applyAlignment="1" pivotButton="0" quotePrefix="0" xfId="0">
      <alignment horizontal="general" vertical="center" wrapText="1"/>
    </xf>
    <xf numFmtId="0" fontId="6"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8"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2"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top" wrapText="1"/>
    </xf>
    <xf numFmtId="0" fontId="15" fillId="0" borderId="0" pivotButton="0" quotePrefix="0" xfId="0"/>
    <xf numFmtId="0" fontId="0" fillId="0" borderId="0" applyAlignment="1" pivotButton="0" quotePrefix="0" xfId="0">
      <alignment vertical="top" wrapText="1"/>
    </xf>
    <xf numFmtId="0" fontId="9" fillId="3" borderId="0" applyAlignment="1" pivotButton="0" quotePrefix="0" xfId="0">
      <alignment horizontal="general" vertical="center" wrapText="1"/>
    </xf>
    <xf numFmtId="0" fontId="6"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8"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2"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4" fillId="0" borderId="0" pivotButton="0" quotePrefix="0" xfId="0"/>
    <xf numFmtId="0" fontId="16" fillId="0" borderId="0" pivotButton="0" quotePrefix="0" xfId="0"/>
    <xf numFmtId="0" fontId="17" fillId="4" borderId="2" applyAlignment="1" pivotButton="0" quotePrefix="0" xfId="0">
      <alignment vertical="top" wrapText="1"/>
    </xf>
    <xf numFmtId="0" fontId="18" fillId="0" borderId="2" applyAlignment="1" pivotButton="0" quotePrefix="0" xfId="0">
      <alignment vertical="top" wrapText="1"/>
    </xf>
    <xf numFmtId="0" fontId="18" fillId="5" borderId="2" applyAlignment="1" pivotButton="0" quotePrefix="0" xfId="0">
      <alignment vertical="top" wrapText="1"/>
    </xf>
    <xf numFmtId="0" fontId="19" fillId="6" borderId="2" applyAlignment="1" pivotButton="0" quotePrefix="0" xfId="0">
      <alignment vertical="top" wrapText="1"/>
    </xf>
    <xf numFmtId="0" fontId="17" fillId="4" borderId="0" applyAlignment="1" pivotButton="0" quotePrefix="0" xfId="0">
      <alignment vertical="top" wrapText="1"/>
    </xf>
    <xf numFmtId="0" fontId="20" fillId="0" borderId="0" applyAlignment="1" pivotButton="0" quotePrefix="0" xfId="0">
      <alignment vertical="top" wrapText="1"/>
    </xf>
    <xf numFmtId="0" fontId="19" fillId="0" borderId="0" applyAlignment="1" pivotButton="0" quotePrefix="0" xfId="0">
      <alignment vertical="top" wrapText="1"/>
    </xf>
    <xf numFmtId="0" fontId="18" fillId="0" borderId="0" applyAlignment="1" pivotButton="0" quotePrefix="0" xfId="0">
      <alignment vertical="top" wrapText="1"/>
    </xf>
    <xf numFmtId="0" fontId="21" fillId="4" borderId="0" applyAlignment="1" pivotButton="0" quotePrefix="0" xfId="0">
      <alignment vertical="top" wrapText="1"/>
    </xf>
    <xf numFmtId="0" fontId="0" fillId="6" borderId="0" pivotButton="0" quotePrefix="0" xfId="0"/>
    <xf numFmtId="0" fontId="0" fillId="5" borderId="0" pivotButton="0" quotePrefix="0" xfId="0"/>
    <xf numFmtId="0" fontId="0" fillId="7" borderId="0" pivotButton="0" quotePrefix="0" xfId="0"/>
    <xf numFmtId="0" fontId="0" fillId="8" borderId="0" pivotButton="0" quotePrefix="0" xfId="0"/>
    <xf numFmtId="0" fontId="22" fillId="0" borderId="0" pivotButton="0" quotePrefix="0" xfId="0"/>
    <xf numFmtId="0" fontId="21" fillId="4"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59669"/>
      <rgbColor rgb="FFC8BFAD"/>
      <rgbColor rgb="FF808080"/>
      <rgbColor rgb="FF9999FF"/>
      <rgbColor rgb="FF993366"/>
      <rgbColor rgb="FFF5ED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05A00"/>
      <rgbColor rgb="FF6A7080"/>
      <rgbColor rgb="FF969696"/>
      <rgbColor rgb="FF003366"/>
      <rgbColor rgb="FF339966"/>
      <rgbColor rgb="FF003300"/>
      <rgbColor rgb="FF1C1410"/>
      <rgbColor rgb="FFB91C1C"/>
      <rgbColor rgb="FF993366"/>
      <rgbColor rgb="FF555555"/>
      <rgbColor rgb="FF2A2F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6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0" min="1" max="1"/>
    <col width="78" customWidth="1" style="20" min="2" max="2"/>
  </cols>
  <sheetData>
    <row r="1" ht="17.25" customHeight="1" s="21">
      <c r="A1" s="22" t="inlineStr">
        <is>
          <t>LC76 OVERLAND REFERENCE LIBRARY — AUDIT WORKING PAPERS</t>
        </is>
      </c>
    </row>
    <row r="2" ht="15" customHeight="1" s="21">
      <c r="A2" s="23" t="inlineStr">
        <is>
          <t>Technical-accuracy &amp; layout/print/mobile conformance review · Step 0 (control environment) deliverable</t>
        </is>
      </c>
    </row>
    <row r="4" ht="15" customHeight="1" s="21">
      <c r="B4" s="24" t="n"/>
    </row>
    <row r="5" ht="15" customHeight="1" s="21">
      <c r="A5" s="25" t="inlineStr">
        <is>
          <t>Phase opened</t>
        </is>
      </c>
      <c r="B5" s="24" t="inlineStr">
        <is>
          <t>18 June 2026</t>
        </is>
      </c>
    </row>
    <row r="6" ht="23.25" customHeight="1" s="21">
      <c r="A6" s="25" t="inlineStr">
        <is>
          <t>Scope this phase</t>
        </is>
      </c>
      <c r="B6" s="24" t="inlineStr">
        <is>
          <t>Technical accuracy + layout conformance. Currency re-verification (comms / border-fee-fuel) DEFERRED. Electrical set R5/R6/R7/R26/R32/R33 DEFERRED to ~2027 LiFePO4 rebuild.</t>
        </is>
      </c>
    </row>
    <row r="7" ht="23.25" customHeight="1" s="21">
      <c r="A7" s="25" t="inlineStr">
        <is>
          <t>Source of truth</t>
        </is>
      </c>
      <c r="B7" s="24" t="inlineStr">
        <is>
          <t>Live GitHub repo (raw.githubusercontent.com/Overlandslabs/Consumption/main). Tier-1 specs: FSM RM617E (engine) + RM730E via toyotamanuals.gitlab.io (chassis) + vendor datasheets.</t>
        </is>
      </c>
    </row>
    <row r="8" ht="15" customHeight="1" s="21">
      <c r="B8" s="24" t="n"/>
    </row>
    <row r="9" ht="15" customHeight="1" s="21">
      <c r="A9" s="26" t="inlineStr">
        <is>
          <t>POPULATION</t>
        </is>
      </c>
      <c r="B9" s="24" t="inlineStr">
        <is>
          <t>count</t>
        </is>
      </c>
    </row>
    <row r="10" ht="15" customHeight="1" s="21">
      <c r="A10" s="25" t="inlineStr">
        <is>
          <t>Content docs — technical-accuracy in scope</t>
        </is>
      </c>
      <c r="B10" s="24">
        <f>COUNTIF(Population!F:F,"In")</f>
        <v/>
      </c>
    </row>
    <row r="11" ht="15" customHeight="1" s="21">
      <c r="A11" s="25" t="inlineStr">
        <is>
          <t>Content docs — ethos (light: citations + layout)</t>
        </is>
      </c>
      <c r="B11" s="24">
        <f>COUNTIF(Population!F:F,"In-light")</f>
        <v/>
      </c>
    </row>
    <row r="12" ht="15" customHeight="1" s="21">
      <c r="A12" s="25" t="inlineStr">
        <is>
          <t>Deferred this phase (electrical / fast-moving)</t>
        </is>
      </c>
      <c r="B12" s="24">
        <f>COUNTIF(Population!F:F,"Deferred")+COUNTIF(Population!F:F,"Out-phase")</f>
        <v/>
      </c>
    </row>
    <row r="13" ht="15" customHeight="1" s="21">
      <c r="A13" s="25" t="inlineStr">
        <is>
          <t>Standards / structural files</t>
        </is>
      </c>
      <c r="B13" s="24">
        <f>COUNTIF(Population!F:F,"Standard")</f>
        <v/>
      </c>
    </row>
    <row r="14" ht="15" customHeight="1" s="21">
      <c r="A14" s="25" t="inlineStr">
        <is>
          <t>Files fetched live &amp; verified present (HTTP 200)</t>
        </is>
      </c>
      <c r="B14" s="24">
        <f>COUNTIF(Population!I:I,200)</f>
        <v/>
      </c>
    </row>
    <row r="15" ht="15" customHeight="1" s="21">
      <c r="B15" s="24" t="n"/>
    </row>
    <row r="16" ht="15" customHeight="1" s="21">
      <c r="A16" s="26" t="inlineStr">
        <is>
          <t>FINDINGS</t>
        </is>
      </c>
      <c r="B16" s="24" t="inlineStr">
        <is>
          <t>count</t>
        </is>
      </c>
    </row>
    <row r="17" ht="15" customHeight="1" s="21">
      <c r="A17" s="25" t="inlineStr">
        <is>
          <t>Technical-accuracy findings — open</t>
        </is>
      </c>
      <c r="B17" s="24">
        <f>COUNTIF(TA_Register!L:L,"Open*")</f>
        <v/>
      </c>
    </row>
    <row r="18" ht="15" customHeight="1" s="21">
      <c r="A18" s="25" t="inlineStr">
        <is>
          <t xml:space="preserve">  of which High / safety-critical</t>
        </is>
      </c>
      <c r="B18" s="24">
        <f>COUNTIFS(TA_Register!L:L,"Open*",TA_Register!F:F,"HIGH")+COUNTIFS(TA_Register!L:L,"Open*",TA_Register!F:F,"S")</f>
        <v/>
      </c>
    </row>
    <row r="19" ht="15" customHeight="1" s="21">
      <c r="A19" s="25" t="inlineStr">
        <is>
          <t>Technical-accuracy — confirmed/closed</t>
        </is>
      </c>
      <c r="B19" s="24">
        <f>COUNTIF(TA_Register!L:L,"Closed*")</f>
        <v/>
      </c>
    </row>
    <row r="20" ht="15" customHeight="1" s="21">
      <c r="A20" s="25" t="inlineStr">
        <is>
          <t>Layout findings — open</t>
        </is>
      </c>
      <c r="B20" s="24">
        <f>COUNTIF(LX_Register!H:H,"Open*")</f>
        <v/>
      </c>
    </row>
    <row r="21" ht="15" customHeight="1" s="21">
      <c r="B21" s="24" t="n"/>
    </row>
    <row r="22" ht="23.25" customHeight="1" s="21">
      <c r="A22" s="26" t="inlineStr">
        <is>
          <t>STEP 0 STATUS</t>
        </is>
      </c>
      <c r="B22" s="24" t="inlineStr">
        <is>
          <t>Complete — control environment established; Facts.txt locked; 49 files concordance-checked; Design Guidelines (F13) assessed.</t>
        </is>
      </c>
    </row>
    <row r="23" ht="23.25" customHeight="1" s="21">
      <c r="A23" s="25" t="inlineStr">
        <is>
          <t>Carried from Phase 1</t>
        </is>
      </c>
      <c r="B23" s="24" t="inlineStr">
        <is>
          <t>F10 (weighbridge) open=TA-002 · F13 (DG v1.2 + sticky-bg)=LX-001/002 · F17 (template) CLOSED (now 200).</t>
        </is>
      </c>
    </row>
    <row r="24" ht="15" customHeight="1" s="21">
      <c r="A24" s="25" t="inlineStr">
        <is>
          <t>Next</t>
        </is>
      </c>
      <c r="B24" s="24" t="inlineStr">
        <is>
          <t>Tranche 1 — calculators (formula/coefficient audit). R4 &amp; R8 get dedicated sessions.</t>
        </is>
      </c>
    </row>
    <row r="25" ht="15" customHeight="1" s="21">
      <c r="B25" s="24" t="n"/>
    </row>
    <row r="26" ht="15" customHeight="1" s="21">
      <c r="A26" s="26" t="inlineStr">
        <is>
          <t>SIGN-OFF</t>
        </is>
      </c>
      <c r="B26" s="24" t="n"/>
    </row>
    <row r="27" ht="15" customHeight="1" s="21">
      <c r="A27" s="25" t="inlineStr">
        <is>
          <t>Reviewer (Claude / Opus)</t>
        </is>
      </c>
      <c r="B27" s="24" t="inlineStr">
        <is>
          <t>Step 0 executed 18 Jun 2026</t>
        </is>
      </c>
    </row>
    <row r="28" ht="15" customHeight="1" s="21">
      <c r="A28" s="25" t="inlineStr">
        <is>
          <t>Owner acceptance (Neil)</t>
        </is>
      </c>
      <c r="B28" s="24" t="inlineStr">
        <is>
          <t>__________________________</t>
        </is>
      </c>
    </row>
    <row r="30" ht="41.25" customHeight="1" s="21">
      <c r="A30" s="27" t="inlineStr">
        <is>
          <t>TRANCHE 1 — COMPLETE</t>
        </is>
      </c>
      <c r="B30" s="28" t="inlineStr">
        <is>
          <t>All 6 calculators audited. Stream A (formula/accuracy): ALL SOUND — only advisory findings (TA-007/008/009/010), no safety or arithmetic defect. Stream B (layout): JS/div/print/overflow all pass; 2 consistency findings — LX-006 (Tyre Pressure on Pattern-A palette vs Pattern-B siblings), LX-007 (home-pill inconsistent). On-device print/mobile render sign-off remains owner's.</t>
        </is>
      </c>
    </row>
    <row r="32" ht="41.25" customHeight="1" s="21">
      <c r="A32" s="27" t="inlineStr">
        <is>
          <t>TRANCHE 2 — COMPLETE</t>
        </is>
      </c>
      <c r="B32" s="28" t="inlineStr">
        <is>
          <t>Life-safety set fully audited (R34, R17, R10, R36, R9, R35). Result: ONE material finding — TA-017 (R10 missing CPR/choking/anaphylaxis/drowning protocols + 2 broken index cross-refs). All other safety content confirmed sound vs recognised authorities (Toyota/FMVSS, CDC/WHO, ASI, field-guide doctrine, recovery &amp; fire standards). R34 brake-page Tier-1 deep-link still pending. NEXT: Tranche 3 — powertrain (FSM engine page-index + RM730E chassis).</t>
        </is>
      </c>
    </row>
    <row r="33" ht="95.5" customHeight="1" s="21">
      <c r="A33" s="27" t="inlineStr">
        <is>
          <t>TRANCHE 3 — IN PROGRESS</t>
        </is>
      </c>
      <c r="B33" s="28" t="inlineStr">
        <is>
          <t>Quick-win batch cleared 21 Jun 2026: TA-018 closed (xlsx re-tied to R8: 314 records / R810,872.32; R24 checked, no defect — same pattern as R22). TA-006 closed (R25 stale base re-keyed to canonical 310,000 / ~89,000, fit-event mileage preserved). Remaining open in Tranche 3: TA-001 (R4, shim-type correction — needs dedicated session, 226KB file), TA-003/TA-004 (R8 current-odo refs, deferred to T4 dedicated pass), TA-002 (weighbridge-gated, owner action). Next: continue powertrain cluster (R18, R21, R22, R13, R14, R19, R20, R27, R3).</t>
        </is>
      </c>
    </row>
    <row r="34">
      <c r="A34" s="29" t="inlineStr">
        <is>
          <t>TRANCHE 3 — cluster batch</t>
        </is>
      </c>
      <c r="B34" s="30" t="inlineStr">
        <is>
          <t>21 Jun 2026: TA-020 (R18, 3 spots), TA-021 (R27 warn-box), TA-023 (R21 boost) — all closed. Common pattern: stale 'valve clearances no record / overdue' claims and pre-trip pump-rebuild recommendations propagated from before the Jun 2026 Udel overhaul. R20, R19, R13, R14 audited and clean (false positives from pattern scan: R20 'interference' is correct; R19 '1.0 bar' is tyre pressure not boost; R20 'shim' is trunnion not valve). TA-022 (R22 six 308,500 refs) deferred to T4 odometer batch with R8. TA-019 (R3 shim-vs-locknut) folds into R4 dedicated session (same defect family, both touched together).</t>
        </is>
      </c>
    </row>
    <row r="35">
      <c r="A35" s="42" t="inlineStr">
        <is>
          <t>TRANCHE 3 — R4 SCOPE EXPANDED</t>
        </is>
      </c>
      <c r="B35" s="30" t="inlineStr">
        <is>
          <t>21 Jun 2026: R4 scoping discovered the 1HZ-as-OHV defect propagates across SIX locations in R4 (TOC + Cylinder Head + Push Rods/Rocker + Valve Cover + Camshaft + cam-wear + spec table), not just the one card TA-001 originally identified. Logged as TA-024 (supersedes TA-001 single-card scope; TA-001 remains open as a sub-component). DEFERRED to dedicated R4 session per project convention for 80KB+ structural rebuilds. Handover brief prepared. Tranche 3 will close on completion of: TA-024 (R4 architecture), TA-002 (weighbridge, owner action), TA-022 (R22 — folds into T4 odometer batch with R8 TA-003/004).</t>
        </is>
      </c>
    </row>
    <row r="36">
      <c r="A36" s="42" t="inlineStr">
        <is>
          <t>TRANCHE 3 — R4 ARCHITECTURE CLOSED</t>
        </is>
      </c>
      <c r="B36" s="30" t="inlineStr">
        <is>
          <t>21 Jun 2026 (R4 dedicated session): TA-024 closed — 1HZ-as-OHV defect fully corrected in LC76_Engine_Training.html. 16 surgical edits: the brief's 7 targets (TOC, Cylinder Head, core card, Valve Cover, Camshaft body, cam-wear, spec table) PLUS 5 further OHV remnants found by full-file sweep (section-2 desc, core-card glyph, valve-cover loc-pill, camshaft comp-code, camshaft loc-pill) that would otherwise have left R4 self-contradictory. Also fixed wrong clearance values (now 0.15-0.25/0.35-0.45 mm cold) and lobe count (6-&gt;12). TA-001 closed (folded in: shim-type method correction). Validation: div 939/942 held, JS OK, OHV sweep clean. Tranche 3 remaining: TA-002 (weighbridge, owner action), TA-022 (R22 six odo refs, -&gt; T4 odometer batch with R8 TA-003/004).</t>
        </is>
      </c>
    </row>
    <row r="37">
      <c r="A37" s="42" t="inlineStr">
        <is>
          <t>TRANCHE 4 — ODOMETER BATCH (R22 / Checklist / R23)</t>
        </is>
      </c>
      <c r="B37" s="30" t="inlineStr">
        <is>
          <t>21 Jun 2026 (scope-b full refresh): TA-022 closed (R22, 3 current-odo → 310,412, events preserved). TA-029 closed (Checklist: turbo/flush → 86,006, valve item flipped to Udel-done, interval anchor 308,248 retained — owner-confirmed Udel≠routine service). R23 closed via TA-025/026/027/028: powertrain pre-trip verdicts conformed to Udel Jun 2026 (valves/injectors/pump done), exhaust-clearance spec corrected 0.30→0.35-0.45, timing-belt no-record contradiction corrected per ledger @273,023, fuel-filter housing marked done, Denso→Bosch; full odo/derived refresh 310,412/86,006/37,389/39,212/16,463/38,227. Totals: 57 surgical edits, div held (R22 295/295, Checklist 42/42, R23 235/235), JS OK, residual sweep clean, events preserved. Canonical corrected from pre-Udel 310,000/85,594. NEW TA-030 logged OPEN (R8 glow-plug mis-attributed to Udel — owner confirmed not done). Remaining T4: R8 dedicated session (TA-003/004 current-odo + turbo-km + TA-030 glow-plug, JSON-ledger byte-diff). TA-002 weighbridge owner action.</t>
        </is>
      </c>
    </row>
    <row r="38">
      <c r="A38" s="42" t="inlineStr">
        <is>
          <t>TRANCHE 4 — GLOW/TANK CORRECTION (live-ledger reversal)</t>
        </is>
      </c>
      <c r="B38" s="30" t="inlineStr">
        <is>
          <t>21 Jun 2026: full R8 embedded-ledger fetch (during R8 handover prep) overturned the earlier glow-plug call. Udel 19 Jun 2026 line 'Labour to recondition injectors (incl. glow plugs)' = glow plugs R&amp;R'd (no test/parts line → not re-tested/replaced); 'Remove, clean &amp; refit diesel tank — fuel-contamination remediation' = tank flush, the overhaul's root cause. Glow wording harmonised to 'tested Mar 2025 (DupDiesel); R&amp;R Jun 2026 (Udel), not re-tested' in R23 + Facts §2 (TA-030 revised → Open for R8 row; R8 session). Diesel-tank remediation added to R23 fuel section + Facts §2 (TA-031 closed). Lesson: pre-Udel /mnt/project ledger (289 rows) lacked the Udel rows; only the live R8 314-rec ledger carried the evidence — fetch-before-conclude.</t>
        </is>
      </c>
    </row>
    <row r="39">
      <c r="A39" s="42" t="inlineStr">
        <is>
          <t>TRANCHE 4 — R8 PASS CLOSED (odometer batch complete)</t>
        </is>
      </c>
      <c r="B39" s="30" t="inlineStr">
        <is>
          <t>21 Jun 2026 (R8 dedicated session): TA-003 + TA-004 + TA-030 closed. R8 reconciled via 11 surgical edits — 'Current Service Status' header 308,248-&gt;310,412; Last-Service tile -&gt; Udel 310,412/19-06-2026; turbo oil-feed/shaft-play 84,278-&gt;86,006, coolant-flush 84,094/~84,000-&gt;86,006, turbo drain-hose 36,499-&gt;38,227; glow L1043 cell+status &amp; L778 narrative harmonised to 'tested Mar 2025 (DupDiesel) / R&amp;R Jun 2026 (Udel), not re-tested'. Validation: div 223/223, JS OK, JSON service ledger BYTE-FOR-BYTE identical (314 records / R810,872 tie preserved), all event mileages (308,248/308,500) preserved, residual stale-figure sweep clean. Diesel-tank line confirmed already in R8 ledger (no summary block needed). T4 ODOMETER BATCH NOW CLOSED LIBRARY-WIDE (310,412/86,006 across R8/R22/R23/Checklist/Facts); monthly-odometer standing process takes over from next reading. Phase-2 remaining open: TA-002 (weighbridge, owner action). [Owner revision same day: Last-Service tile relabelled 'Last Routine Service' + reverted to 308,248/14-04; 'Current Service Status' header odo suffix dropped. TA-004 stays closed.]</t>
        </is>
      </c>
    </row>
    <row r="40">
      <c r="A40" s="42" t="inlineStr">
        <is>
          <t>TRANCHE 4 REMAINDER — SCOPED &amp; BRIEFED (not yet executed)</t>
        </is>
      </c>
      <c r="B40" s="30" t="inlineStr">
        <is>
          <t>21 Jun 2026: T4-remainder = service/prep cluster docs still un-audited = R1, R2, R11, R28, R31 (R8/R8s/R23 already closed). Live-scanned; handover brief written (LC76_T4_Remainder_Handover.md). NEW findings registered: TA-032 (R31 boost 0.5-&gt;0.6 bar) + TA-033 (R11/R28/R31 odo/turbo-km refresh). R1 payload ~551 + R11 payload section remain TA-002/F10 weighbridge-gated (already provisionally hedged). R2 effectively clean (CSS-alpha &amp; operational-glow false positives noted). Session split per &gt;80KB rule: A=R1+R2+R31 (small batch); B=R11 (84.8KB, weighbridge-gated); C=R28 (104KB). Execute via fetch-live + content-anchored edits.</t>
        </is>
      </c>
    </row>
    <row r="41">
      <c r="A41" s="27" t="inlineStr">
        <is>
          <t>T4-REMAINDER — COMPLETE</t>
        </is>
      </c>
      <c r="B41" s="28" t="inlineStr">
        <is>
          <t>R1/R2 audit-clean (no edits). R31: boost 0.5→0.6 bar ×4, recon-derived →86,006 ×3, intercooler →~260,000 ×3; owner upgrade decisions (exhaust→Done; boost-gauge/alternator/ARP/airbox→Not Required). R11: odo→310,412; payload provisional (TA-002). R28: odo→310,412; payload '~551'; '(Andrea)' removed; 583 bar-primary. TA-032 &amp; TA-033 CLOSED. TA-002 (weighbridge) remains the sole open TA. Follow-on: boost-figure library sweep initiated (R11 done; R1/R13/R19/R23/R24/R27 candidates) + incidental stale-figure findings logged (Concordance r32) pending owner decisions.</t>
        </is>
      </c>
    </row>
    <row r="42">
      <c r="A42" s="27" t="inlineStr">
        <is>
          <t>PASS A/B — §5 STEP 1 DONE (R1 + R13 + R34)</t>
        </is>
      </c>
      <c r="B42" s="28" t="inlineStr">
        <is>
          <t>22 Jun 2026: boost-add R1 + R13 (-&gt; 0.6 bar, bar-only); odo R34 masthead (-&gt; 310,412). TA-034 (boost-add) + TA-035 (odo/derived) FORMALISED — both Open (multi-session passes; close on full-sweep completion). Remaining boost-adds: R19/R23/R24/R27. Remaining odo/derived: R19/R20/R23/R27. Owner ruling 22 Jun: always bump edited-doc masthead date to session date. index.html 22 Jun (no-op); sw.js no bump. Open TAs now: TA-002, TA-034, TA-035.</t>
        </is>
      </c>
    </row>
    <row r="43">
      <c r="A43" s="27" t="inlineStr">
        <is>
          <t>TA-036 — BOSCH VE NAMING SWEEP CLOSED</t>
        </is>
      </c>
      <c r="B43" s="28" t="inlineStr">
        <is>
          <t>24 Jun 2026: 5-file injection-pump naming sweep complete &amp; verified at live HEAD 9b229c3. R4/R24/R27/R31 via logged sessions; R20 verified canonical in-repo (edit committed outside a logged session — provenance in TA-036 Action col &amp; Concordance r47). All five now first-mention 'Bosch VE (Denso-built)' (Denso=1 each). Closer rule satisfied (5/5 'Session (Rxx)' passes). TA-036 -&gt; Closed. Sole remaining open TA = TA-002 (weighbridge, owner-gated). Advisory-open (standing): TA-007/008/009/010. Pending owner decision (out of naming scope): R31 l.285/408 Mar-2025 calibration currency after Jun-2026 Udel pump rebuild.</t>
        </is>
      </c>
    </row>
    <row r="44">
      <c r="A44" s="27" t="inlineStr">
        <is>
          <t>SESSION 24 JUN 2026 — R31 REWORD + LX-004/006 CLOSED</t>
        </is>
      </c>
      <c r="B44" s="28" t="inlineStr">
        <is>
          <t>R31 (Upgrade Assessment): calibration-currency reworded across 6 refs to 'pump bench-recalibrated by Udel Jun 2026, not dyno re-tested; Mar 2025 = last dyno figure' (resolves TA-036 out-of-scope flag; aligned to TA-030). LX-004 (DG max-width:600px) CLOSED as false positive. LX-006 (Tyre Pressure palette) CLOSED via warm Pattern-B repalette (~90 usages, role-aware). All LX findings now closed. Board: TA-002 (weighbridge, owner-gated) is the sole open item; advisory-open standing TA-007/008/009/010. Files for commit: LC76_Upgrade_Assessment.html, LC76_Tyre_Pressure_Calculator.html, index.html, this workbook.</t>
        </is>
      </c>
    </row>
    <row r="45">
      <c r="A45" s="27" t="inlineStr">
        <is>
          <t>R21 LDA CARD ADDED (24 JUN 2026)</t>
        </is>
      </c>
      <c r="B45" s="28" t="inlineStr">
        <is>
          <t>New collapsible card 'How the boost compensator (LDA) works' added to R21 Turbo Operations Guide, after the existing SAC boost-compensator card. Owner-supplied passage corrected on integration: 'Denso VE'-&gt;'Bosch VE (Denso-built)' (TA-036 integrity); 'increasing the plunger's stroke'-&gt;VE control-collar/spill-timing (rotary-pump accurate); German given literally as 'boost-pressure-dependent full-load stop'. Validated: div 168/168, JS node --check OK, masthead bumped. For commit: LC76_Turbo_Operations_Guide.html (no sw.js bump - edit to existing precached file; index.html unchanged - already 24 Jun 2026).</t>
        </is>
      </c>
    </row>
    <row r="46">
      <c r="A46" s="27" t="inlineStr">
        <is>
          <t>POST-INSTALL LIBRARY AUDIT (3 JUL 2026)</t>
        </is>
      </c>
      <c r="B46" s="28" t="inlineStr">
        <is>
          <t>Full-library audit at HEAD 90f846b0: (A) LiFePO4 propagation, (B) design conformance incl. owner-validated v1.4 pattern, (C) structural gates. 54 files SHA-pinned. Findings F18–F37 issued in LC76_Library_Audit_2026-07.html. Headline: session targets R1/R5/R7/R26/R30 convert clean, but 9 further docs still present the lead-acid or pre-quote spec as current (worst R32); v1.4 reached only 6 files; 5 width-cap breaches (incl. R7); R5/R7 off-system fonts; R4/Zambia div imbalance. Remediation RS-1–RS-11 proposed, not executed. Owner gates G1–G4 (TA-037 install odometer, TA-038 jack rating, Karoo fonts, R16 Starlink rewrite). sw.js untouched (governance doc, not precached).</t>
        </is>
      </c>
    </row>
    <row r="47">
      <c r="A47" s="27" t="inlineStr">
        <is>
          <t>RS-1 — ODOMETER PROPAGATION + R32 REBUILD (3 JUL 2026)</t>
        </is>
      </c>
      <c r="B47" s="28" t="inlineStr">
        <is>
          <t>RS-1 executed at HEAD 2a9e29d (audit deliverables confirmed committed). G1: 311,000 km actual reading -&gt; propagated library-wide (Facts §2 + derived-km recompute; mastheads R19/R20/R22/R27/R28/R34; R11 odometer cell; R23 x13 incl. derived 37,977/17,051/39,800/~588; R8 Current-Odometer tile + tyre-derived 46,272). TA-037 CLOSED. F26: R32 Crank Battery Care rebuilt to dual-chemistry as-fitted (v2.0) — 20 surgical edits: status note, S1 architecture para + fitted-stack table (Enertec 210Ah / Orion Smart 50A capped ~40A / SmartShunt / MultiPlus / MPPT), S3 multimeter-only on crank (BM2000 out; SmartShunt = house-only cross-check), S6 charging: alternator = sole crank source, NO dedicated crank maintainer fitted (DEFA gone; MultiPlus/solar serve house only) + practical standing routine (standalone maintainer recommended, else negative-off), install note past-tensed, S9 no-paralleling rewrite (one-way Orion, BMS), xref +R7 pill, footer v2.0 Jul 2026. Willard-specific care content retained intact. Residual Cyrix/BM2000/DEFA/105Ah x1-2 = past-tense removed-equipment framing (exempt). F27: R1 DEFA SmartCharge row -&gt; 'Mains Charging: MultiPlus 12/500 via 16A shore inlet'; masthead 'Last updated' line ADDED (was absent). F36: LiFePO4 Calculator — retired-R33 footer link -&gt; R26 Electrical &amp; Wiring; defaults rebased to fitted spec (capacity 300-&gt;210 Ah incl. display cells + JS fallback, usable 240-&gt;168 Ah, DC-DC 23-&gt;40 A). Hardkorr 200W: verified already named in R7 (x5) + R26 (x4) — no edit needed. Date bumps: R32, R1, R19, R20 (in-masthead), R8, R11, Facts + R23 footer month; index.html already 3 Jul 2026 (no-op); R34/R27/R22/R28 and calculator carry no date element (no-op); sw.js NO bump (content-only edits). Validation: div balance OK on all 12 edited HTML files, all inline JS passes node --check, stale-term sweep clean with exemptions respected, workbook formula baseline preserved, zip integrity verified. NB: pack cited formula baseline 9; live count at HEAD is 11 (presumably +2 from the 3 Jul audit session) — live figure governs. G2 resolution noted on TA-038 (execution in RS-3). Deliverables (14): Facts.txt, R32 Crank Battery Care, R1 Reference Card, LiFePO4 Calculator, R8 Service History, R11 Packing, R19 AT Tyre Review, R20 Seal &amp; Gasket Atlas, R22 Cooling, R23 Pre-Trip Prep, R27 Bush Mechanics, R28 Driving Conditions, R34 Brake System, this workbook. F18 CLOSED (current-odo census complete), F26 CLOSED, F27 CLOSED, F36 CLOSED.</t>
        </is>
      </c>
    </row>
    <row r="48">
      <c r="A48" s="27" t="inlineStr">
        <is>
          <t>RS-2 — R23 PRE-TRIP PREP ELECTRICAL REWRITE (3 JUL 2026)</t>
        </is>
      </c>
      <c r="B48" s="28" t="inlineStr">
        <is>
          <t>RS-2 executed at HEAD 0d43fbd (R23 fetched live; RS-1 odometer figures inherited cleanly — no odo edits needed). F19 CLOSED: alert note rebased (Enertec 210Ah + Orion Smart 50A/~40A cap); full-function check rewritten to fitted stack (SmartShunt SOC/V/A, Orion Smart &lt;=~40A, BatteryProtect state, MPPT cycle, Enertec app check); new MultiPlus shore-power charge/transfer/invert test task added (20A charge, 16A transfer, LiFePO4 preset verify); broken R6 xref pill STRIPPED (R7 pill already present — re-pointing would duplicate); masthead date June-&gt;July 2026. Stale terms zero (Orion-Tr, BMV-712, BMS 12/200, 200Ah all cleared). No payload figures in R23 — caveat not applicable. div 239/239 (+4 for new task row); 2 scripts JS OK; no dup anchors. sw.js untouched (content-only).</t>
        </is>
      </c>
    </row>
    <row r="49">
      <c r="A49" s="27" t="inlineStr">
        <is>
          <t>RS-3 — R27 BUSH MECHANICS FITTED-STACK REWRITE (3 JUL 2026)</t>
        </is>
      </c>
      <c r="B49" s="28" t="inlineStr">
        <is>
          <t>RS-3 executed at HEAD 386df42 (RS-2 commit confirmed; R27 fetched live, 130.1 KB, own session per &gt;80KB rule). F22 CLOSED: BMV-712 -&gt; SmartShunt x2 (charging-fault diag step 1 + limp-table monitor cell); Orion-Tr -&gt; Orion Smart 12/12-50A (~40A cap) with non-isolated correction ('the Orion is isolated' claim removed — DC-DC one-way, cannot back-feed); ok-box rebased to 210Ah Enertec + 105A total load budget + BatteryProtect 65A load-shed behaviour ('normal, not a second fault'); starter no-crank step: 'jump via the Orion' corrected to direct heavy-cable jump (Orion unidirectional) + 210Ah. F37/G2 CLOSED (TA-038): jack/axle-stand item 12 '2,160 kg minimum' -&gt; '&gt;=2.5 t, inspected' + provisional-kerb caveat. No masthead date line in R27 (odo 311,000 already current from RS-1). Gates: div 815/815; 1 script JS OK; stale sweep zero (BMV-712/Orion-Tr/200Ah/2,160 cleared); no dup anchors. sw.js untouched (content-only).</t>
        </is>
      </c>
    </row>
    <row r="50">
      <c r="A50" s="27" t="inlineStr">
        <is>
          <t>RS-4 — SMALL-FILE STALE SWEEP + R16 G4 REWRITE (3 JUL 2026)</t>
        </is>
      </c>
      <c r="B50" s="28" t="inlineStr">
        <is>
          <t>RS-4 executed at HEAD 1a07fee (RS-3 commit confirmed). Five files, 13 edits. R2 (F20 CLOSED): BM2000 detail -&gt; SmartShunt SOC/voltage (LiFePO4 thresholds 13.2V/90%); Cyrix item -&gt; BatteryProtect &amp; M-series battery-switch check; Sinetech item -&gt; MultiPlus (inverter off/charger-only for driving); masthead -&gt; July 2026. R16 (F23/G4 CLOSED — judgment rewrite): step-up-converter para rewritten for LiFePO4 flat discharge curve — sag/reboot rationale retired, 12V-direct default, step-up demoted to fix-for-measured-voltage-drop only; endurance rebased ~80-100h from 210Ah@80% usable; DC-direct rule retained with MultiPlus AC option + idle-draw trade-off noted; 'current lead-acid system'/'2027 upgrade' premise and Deltec/Sinetech refs removed; masthead -&gt; 3 July 2026. R35 (F24 CLOSED): fire-isolation step -&gt; M-series switch OFF (house bank + MultiPlus) then crank kill-switch. Service Checklist (F25 CLOSED): battery_chk -&gt; fitted stack (SmartShunt, BatteryProtect, DC-DC ~40A, Enertec app). R12 (payload caveat): 551kg -&gt; ~551kg provisional pending weighbridge; masthead -&gt; 3 July 2026. Gates all five: div balanced (301/57/92/42/113), JS node --check OK, stale sweep zero, no dup anchors. sw.js untouched (content-only). R35/Service Checklist carry no masthead date line.</t>
        </is>
      </c>
    </row>
    <row r="51">
      <c r="A51" s="27" t="inlineStr">
        <is>
          <t>RS-5 — R11 PACKING FITTED-STACK SURGICAL (3 JUL 2026)</t>
        </is>
      </c>
      <c r="B51" s="28" t="inlineStr">
        <is>
          <t>RS-5 executed at HEAD 47806be (RS-4 commit confirmed via R16 marker; R11 fetched live, 84.8 KB, own session per &gt;80KB rule). F21 CLOSED: Power &amp; Electrical equipment table — 7 stale rows replaced with 9-row fitted stack (Willard 650 crank unchanged; Enertec Power+ 210Ah LiFePO4 house w/ internal BMS + 20 kg; Orion Smart 12/12-50A Non-isolated capped ~40A; SmartShunt 500A; MultiPlus 12/500/20-16 ~430W cont.; SmartSolar MPPT 100/30; Hardkorr 200W now Current — plugs into MPPT, 'Needs plug-in' tag retired; 16A shore inlet + 15 m lead; BatteryProtect 65A + Safety Hub 150). Cyrix/BM2000/Sinetech/DEFA rows and 'Aux battery 105Ah — Replace -&gt; lithium' row all superseded. SVG storage-layout label '200Ah LiFePO4' -&gt; 210Ah (one extra char, text-anchor:middle in 330px-wide rect — renders fine). Electrical checklist item 200Ah -&gt; 210Ah. BATTERY-WEIGHT ARITHMETIC CENSUS (brief item 5): full sweep of kerb build-up table (factory 2,160 +62 +32 -15 +43 +18 -25 +12 = ~2,287 kerb / ~563 payload), all six cargo-zone breakdown tables (A-F), and cargo total ~402 kg — the aux battery weight was NEVER itemised as a line item anywhere (fixed installed equipment, not in kerb build-up nor cargo zones). NO packed-weight figure carried the old ~30 kg lead-acid weight, therefore NO arithmetic adjustment required — nil-impact recompute. The ~10 kg saving (20 kg Enertec vs ~30 kg lead-acid) remains a real-world credit that will surface in actual weighbridge figures (TA-002) but has no derived chain in R11. Payload-provisional caveat (T4-era info-box, 'all kerb weight figures are estimates... weighbridge') verified present and preserved — not duplicated. Masthead 'Last Updated: 3 July 2026' — session date identical, no bump needed; index.html likewise 3 Jul (no-op). Gates: div 96/96; 2 scripts node --check OK; stale sweep zero (Cyrix/BM2000/DEFA/SmartCharge/Sinetech/200Ah all cleared; 'Hardkorr 200 W' is panel wattage, correct); no dup anchors; workbook formula baseline preserved at 11; testzip None. sw.js untouched (content-only). R11 was the last stale-as-current document — library-wide stale-as-current sweep now COMPLETE.</t>
        </is>
      </c>
    </row>
    <row r="52">
      <c r="A52" s="27" t="inlineStr">
        <is>
          <t>RS-6 — DESIGN FIXES BATCH (3 JUL 2026)</t>
        </is>
      </c>
      <c r="B52" s="28" t="inlineStr">
        <is>
          <t>RS-6 executed at HEAD 4fb1513 (RS-5 commit confirmed via R11 210Ah marker; R11 fetched live, stale sweep clean, RS-5 was last stale-as-current doc). F30 CLOSED (width-cap breaches, LX-009): fixed-pixel max-width caps removed, replaced with max-width:100% + percentage padding — R7 (.body 1100px-&gt;100%+5%), R9 Vehicle Recovery (main 1400px-&gt;100%+5%), R10 Emergency Procedures (main 1200px-&gt;100%+5%), Trip Fuel Planner (.page 1100px-&gt;100%, existing 4% padding retained), index.html (main 1200px-&gt;100%+5%). Print-only 'max-width:none' overrides in R9/R10 left untouched (correct, not a breach). F32 CLOSED (print-color-adjust, part of LX-012): *{-webkit-print-color-adjust:exact!important;print-color-adjust:exact!important;} inserted as first rule inside @media print on Fuel Range Calculator, LiFePO4 Calculator, Trip Fuel Planner, Water Budget Calculator (R7 already had this rule from a prior session — no edit needed there). F33 CLOSED (Karoo G3, LX-010 part + LX-012 part): font import line swapped Playfair Display + Source Serif 4 -&gt; Bebas Neue + Oswald (JetBrains Mono retained for labels); body font-family -&gt; Oswald; .masthead h1 / .section-num / .section h2 / .stop h3 / .fuel-num -&gt; Bebas Neue per display-token role (6 Playfair + 4 Georgia sites cleared, matches audit count exactly). #sticky-nav given padding-top:env(safe-area-inset-top). Karoo itinerary CONVERTS to system typography per owner gate G3 (was pending grandfather-or-convert decision at audit time; resolved to convert in the RS-5/RS-6 handover pack). F31 PART-CLOSED (LX-010 part): R7 side only — 7 Playfair Display sites (.hero-title/.sec-title/.sv/.cfg-hdr-title/.comp-card-name/.price-hd-left, all font-size 15-42px) swapped to Bebas Neue; unused Playfair Display import dropped from R7's font link. R5 (126 KB, DM Serif Display + IBM Plex Sans) remains open — deferred to RS-7 as its own session per the &gt;80KB single-file rule. Date bumps: R9 and R10 mastheads -&gt; 3 July 2026 (both had a 'Last Updated' line at a March 2026 date); R7/Trip Fuel Planner/calculators/Karoo carry no masthead date element (no-op); index.html already read 3 Jul 2026 (no-op, per standing rule only bump if session runs later). Gates: div balance OK on all 9 edited files (R7 211/211, R9 266/266, R10 324/324, Trip Fuel Planner 69/69, index 243/243, Fuel Range 189/189, LiFePO4 Calc 174/174, Water Budget 143/143, Karoo 260/260); node --check OK on all inline JS; stale-term sweep zero (no Playfair/Georgia/Source Serif remain in R7 or Karoo); no duplicate anchors; workbook Summary-sheet formula baseline preserved (9 formula cells, verified unchanged before and after — this session touched no formula cells); testzip() None. sw.js NO bump (all edits content-only to existing precached files). Next: RS-7 (R5 full restyle, own session, Opus).</t>
        </is>
      </c>
    </row>
    <row r="53">
      <c r="A53" s="27" t="inlineStr">
        <is>
          <t>RS-7 — R5 BATTERY TRAINING GUIDE RESTYLE (3 JUL 2026)</t>
        </is>
      </c>
      <c r="B53" s="28" t="inlineStr">
        <is>
          <t>RS-7 executed at HEAD 640af8a (RS-6 commit confirmed via R7 no-Playfair marker + Karoo Bebas/Oswald body). R5 fetched live SHA-pinned, 130.0 KB, own session per &gt;80KB single-file rule. F31 CLOSED (fully; R7/Karoo side closed RS-6): LC76_Battery_Training_Guide.html converted off DM Serif Display + IBM Plex Sans to on-system faces — 8 edits (1 import link + 7 CSS-rule font-family sites), typography-only, no content/structure change. Body IBM Plex Sans -&gt; Oswald. Display-role sites -&gt; Bebas Neue: .hdr-title (masthead), .ch-title (12 section headings), .card-hn (6 card headings), .sv (10 big-number stats e.g. 14.4V / 210Ah / 30% SoC). OWNER-GATED MAPPING (resolved 'mono'): .f-eq (6 unit formulas e.g. 'Wh = W x h') and .sym-symbol (8 unit symbols incl. Greek omega, DoD) re-homed to IBM Plex Mono, NOT Bebas — Bebas Neue is uppercase-only + glyph-limited and would flatten case ('Wh'-&gt;'WH', 'DoD'-&gt;'DOD') and drop omega to a fallback face, corrupting case-sensitive technical notation in a training doc; IBM Plex Mono (design-system labels/mono role, already used 46x in R5) preserves case + covers omega/x/div glyphs. Import link slimmed: DM Serif Display + IBM Plex Sans dropped, IBM Plex Mono retained; Oswald + Bebas Neue links already present. .hdr-title em italic now synthesizes to oblique (Bebas has no italic) — cosmetic, matches R7's Playfair-&gt;Bebas transition. No masthead 'Last updated' line in R5 -&gt; no date bump; index.html already 3 Jul 2026 (no-op). Gates: off-system-typography sweep zero (DM Serif Display 0 / IBM Plex Sans 0); div balance 611/611 (prior-record 614 was a stale count; open==close holds, typography moved nothing); 2 inline scripts node --check OK; no duplicate anchors; only Bebas Neue / Oswald / IBM Plex Mono remain. Workbook: LX-010 -&gt; Closed (last open portion, R5); Summary formula baseline preserved (no formula cells touched); testzip() None. sw.js NO bump (content-only edit to existing precached file). R5 was the last off-system-typography document. OWNER OBSERVATIONS: (1) R7 body font-family reads 'Nunito Sans' (off the design-system font list) — surfaced during RS-7 cross-check; not touched (RS-6 settled, out of RS-7 scope) — flag for possible follow-up finding. (2) LX-009 (F30 width caps) and LX-012 (F32/F33) were closed in RS-6 but their LX_Register status cells still read 'Open — RS-6 (...)'; left as-is pending owner nod to true-up. Remaining F18-F37 open: F28/F29 (RS-9), F34 (RS-8), F35 (RS-10/11).</t>
        </is>
      </c>
    </row>
    <row r="54">
      <c r="A54" s="27" t="inlineStr">
        <is>
          <t>RS-8 — DESIGN GUIDELINES v1.5 PROMOTION (3 JUL 2026)</t>
        </is>
      </c>
      <c r="B54" s="28" t="inlineStr">
        <is>
          <t>RS-8 executed at HEAD dff8db6 (RS-7 commit confirmed via R5 markers: body Oswald, .f-eq/.sym-symbol IBM Plex Mono, no DM Serif Display, no IBM Plex Sans). Target LC76_Design_Guidelines.html — governance doc, NOT precached, NOT in index (no sw.js, no index bump). 10 surgical edits, all anchor-guarded. F34 CLOSED (TOC wording): S3-Comparison table 'TOC pattern' row rewritten to bless BOTH JS patterns — (a) inline onclick+scrollIntoView and (b) data-target + addEventListener → window.scrollTo(top: offsetTop − navH); (b) named preferred for new builds (exact sticky-height offset control). S6 rule-warn extended with both patterns; S6 CORRECT/WRONG &lt;pre&gt; block gains a full (b) example incl. addEventListener + computed-offset scrollTo script; S9 Do-block bullet lists both patterns. F28-part (DG portion of v1.4 rollout) CLOSED: new mandatory subsec 'v1.5 Mobile PWA Pattern — Mandatory' inserted at end of S8, with full pattern in &lt;pre&gt; (html triplet on html not body, single sticky-nav-unit with opaque background + ::before slab bottom:100%/height:100vh, safe-area-inset-top, overscroll-behavior-x:contain on inner scrollers, print guard) plus a 5-item conformance checklist table. R33-retired citation fix: 2 'confirmed on R26/R32/R33' cites → 'confirmed on R26/R32 + Manifesto/Commentary/History' (horizontal overflow row + safe area insets row in S8 table); R33 residue = 0. DG own-body-defect check: line 24 body carries no overflow-x; line 23 already has the html triplet — no edit required (residual brief item, verified already fixed pre-session). Version bumped v1.4 → v1.5 (title tag + masthead std-sub + footer); masthead date 'June 2026' → '3 July 2026'. Gates: div balance 136/136 (baseline 133/133 pre-edit; +3 balanced subsec/rule/subsec divs from mandatory-spec insert); inline script node --check OK; off-system-typography sweep zero (JetBrains Mono / Nunito Sans / DM Serif / Playfair / IBM Plex Sans / Source Serif all 0); section-anchor uniqueness s1–s9 each ×1. sw.js NO bump (DG not precached). index.html 'Last Updated' NO bump (DG not in index). Workbook (this pass): D2 true-up (approved) — LX-009 (F30 widths) and LX-012 (F32 print-color-adjust + F33 Karoo) each moved E→RESOLVED, H→Closed (RS-6) — factual correction of RS-6 residue; LX-008 status reworded to 'DG done RS-8; file rollout RS-9'. D1 raise — new row LX-013 appended: R7 + Karoo off-system label/body faces (R7 Nunito Sans body ×3 + JetBrains Mono ×37; Karoo JetBrains Mono ×20; census 3 Jul 50/52 files on IBM Plex Mono, R7+Karoo the only outliers); Status 'Open — RS-9 (D1)'. Formula-occurrence baseline preserved at 11 (no formula cells touched); testzip() None. Remaining F18–F37 open: F28/F29 (RS-9 file rollout + LX-013 close), F35 (RS-10/11 div repair).</t>
        </is>
      </c>
    </row>
    <row r="55">
      <c r="A55" s="27" t="inlineStr">
        <is>
          <t>RS-9a — v1.4 ROLLOUT TRANCHE 1/5 (3 JUL 2026)</t>
        </is>
      </c>
      <c r="B55" s="28" t="inlineStr">
        <is>
          <t>RS-9a executed at HEAD 75b781e (RS-8 commit confirmed: Design Guidelines v1.5 marker + WorkingPapers Summary R54 both present live). Fresh conformance matrix built across all 52 precached files (derived from sw.js precache array) rather than trusting the audit-era list, per brief instruction — several files had moved through RS-1-8. Matrix method: detect each file's actual sticky-nav CSS selector by signature (position:sticky + top:0 + z-index:100) rather than assuming literal class name '.sticky-nav-unit', since files carry different names (.sticky-wrap, .sticky-nav-unit, #sticky-nav, .toc-bar, .hdr) from different build generations. Checked 8 dimensions per file: html overflow triplet, body non-interference, sticky-unit presence, ::before slab (bottom:100%/height:100vh), unit background, safe-area-inset-top, overscroll-behavior-x:contain on inner scrollers, print guard. RESULT: 5/52 files already fully conformant (R32 Crank Battery Care, R26 Electrical Wiring, History of Overlanding, Manifesto, Manifesto Commentary) — these carry the canonical '.sticky-nav-unit' pattern. 47/52 non-conformant, confirming the brief's estimate. R7 (LiFePO4 System Report) and Karoo confirmed still the only JetBrains Mono files and are reserved for the Opus LX-013 restyle-plus-pattern tranche (not touched this session). TRANCHE 1 (10 files, smallest→largest, excl. R7/Karoo): LC76_Reference_Card.html (R1, 29.2 KB), LC76_Health_Hygiene_Guide.html (32.9 KB), index.html (35.6 KB), LC76_Brake_System_Guide.html (R34, 35.9 KB), LC76_Security_Fire_Guide.html (R35, 36.1 KB), LC76_Water_Budget_Calculator.html (37.5 KB), LC76_Trip_Fuel_Planner.html (37.9 KB), LC76_Wildlife_Camp_Safety_Guide.html (R36, 39.7 KB), LC76_Vehicle_Recovery_Guide.html (R9, 43.0 KB), LC76_Tyre_Management_Guide.html (R14, 43.2 KB). Per-file edits (surgical, anchor-guarded, count==1): html overflow triplet added where absent or incomplete (5 files had none at all: index.html, both calculators; 5 had the bare single-property 'html{overflow-x:hidden}' needing the clip+overscroll-behavior-x:none additions); ::before slab added to each file's own sticky selector (background colour matched to that selector's existing background — var(--ink) or var(--steeldk)); overscroll-behavior-x:contain added to each file's inner horizontal scrollers (.toc-bar / .tbl-wrap / .tscroll / .leg-table-wrap / raw table{overflow-x:auto}, one to four per file); print guard added or extended to suppress the ::before slab at print time (3 files — both calculators + index.html — had NO sticky print-reset at all pre-session, now added). Health_Hygiene_Guide masthead date bumped 26 March 2026 -&gt; 3 July 2026 (had a stale masthead line predating this programme). No other file in this tranche carries a masthead 'Last updated' line, or already reads 3 July 2026 (index.html) -&gt; no-op per standing rule. STRUCTURAL NOTE (not actioned, flagged for owner): index.html's masthead &lt;header&gt; is a plain static block, separate from the sticky .toc-bar -- unlike every other file where masthead+TOC share one sticky unit. This is a design-guideline deviation (S1 'single sticky-nav-unit' rule) but restructuring which elements are sticky is a structural change outside RS-9's pattern-only scope; the v1.4 pattern was applied to .toc-bar as the existing sticky element (safe-area padding, ::before slab, contain) without merging in the header. Recommend a separate finding/session if structural unification is wanted. Gates (all 10 files): div balance open==close confirmed per file (Reference_Card 190/190, Health_Hygiene 46/46, index 243/243, Brake 84/84, Security_Fire 92/92, Water_Budget 143/143, Trip_Fuel_Planner 69/69, Wildlife_Camp_Safety 55/55, Vehicle_Recovery 266/266, Tyre_Management 126/126); node --check PASS on all inline scripts (12 scripts total across the 10 files); html triplet verified present in all 10 post-edit. sw.js NO bump (content-only edits to existing precached files). index.html 'Last Updated' NO bump needed (already 3 July 2026). Workbook formula baseline preserved at 11; testzip() None. Remaining: RS-9b-e (~37 files across 4 more tranches) + the R7/Karoo Opus LX-013 tranche, then RS-10/RS-11 div repairs.</t>
        </is>
      </c>
    </row>
    <row r="56">
      <c r="A56" s="27" t="inlineStr">
        <is>
          <t>RS-9b — v1.4 ROLLOUT TRANCHE 2/5 (3 JUL 2026)</t>
        </is>
      </c>
      <c r="B56" s="28" t="inlineStr">
        <is>
          <t>RS-9b executed at HEAD b746250 (RS-9a commit confirmed: index.html html-triplet marker + WorkingPapers Summary R55 both present live). Fresh conformance matrix rebuilt across all 52 files. CORRECTION TO RS-9a MATRIX METHOD: the RS-9a scan's print-guard detector only captured the FIRST @media print block per file and did not recognise display:none as a valid guard; re-run with a brace-matched full-document print-block scan (and display:none accepted as equivalent to position:static, since a hidden parent suppresses its ::before too) confirms all 10 RS-9a files ARE fully conformant — no rework needed, this was a scan artefact not a file defect. Corrected census: 15/52 fully conformant after RS-9a (5 pre-existing + 10 RS-9a). TRANCHE 2 (10 files, smallest-&gt;largest, excl. R7/Karoo): LC76_Upgrade_Assessment.html (R31, 43.2 KB), LC76_LiFePO4_Calculator.html (43.3 KB), LC76_Tyre_Pressure_Calculator.html (44.4 KB), LC76_Fuel_Range_Calculator.html (44.6 KB), LC76_Service_Checklist.html (R8 supplement, 48.7 KB), LC76_Comms_Navigation_Guide.html (R16, 49.3 KB), LC76_Water_Management_Guide.html (R12, 50.7 KB), LC76_Fuel_Log_Analyser.html (54.8 KB), LC76_Departure_Checklist.html (R2, 55.2 KB), LC76_Drivetrain_Training_Guide.html (R13, 57.4 KB). Per-file edits (surgical, anchor-guarded, count==1): html overflow triplet added/extended in all 10 (3 had NO html{} rule at all pre-session: LiFePO4 Calc, Tyre Pressure Calc -- both calculators -- consistent with the RS-9a finding that some calculators ship without one; R31 Upgrade Assessment's html{} rule uniquely also carries scroll-behavior:smooth, preserved alongside the triplet addition); ::before slab added to each file's sticky selector (.sticky-wrap x8, sticky-nav-unit x1 for R2 Departure Checklist, bare header x1 for Service Checklist which has no separate masthead+TOC unit -- header itself is the sticky element); overscroll-behavior-x:contain added to inner scrollers (.toc-bar / .tbl-wrap / .tscroll / .tgrid-scroll / .tab-bar / .matrix-scroll / .comp-table-wrap / raw table{overflow-x:auto}, 0-2 per file -- Service Checklist has none, verified no horizontal scroll containers exist in that file, vacuously compliant); print guard added or extended to suppress the ::before slab (4 files -- both calculators + Fuel Log Analyser + originally-thought Fuel Range Calculator -- had NO sticky print-reset at all pre-session, now added; R2 Departure Checklist's mobile-only toc-bar/table scrollers patched at their actual media-query location since the base rules don't scroll). R31 Upgrade Assessment masthead date bumped 24 June 2026 -&gt; 3 July 2026. R2 Departure Checklist masthead date precision-bumped 'July 2026' (no day) -&gt; '3 July 2026' for consistency with sibling docs' exact-date convention. No other file in this tranche carries a masthead 'Last updated' line. Gates (all 10 files): div balance open==close confirmed per file (Upgrade Assessment 136/136, LiFePO4 Calc 174/174, Tyre Pressure Calc 101/101, Fuel Range Calc 189/189, Service Checklist 42/42, Comms &amp; Navigation 57/57, Water Management 113/113, Fuel Log Analyser 121/121, Departure Checklist 301/301, Drivetrain Training 104/104); node --check PASS on all inline scripts (13 scripts total); html triplet verified present in all 10 post-edit. sw.js NO bump (content-only). index.html untouched this session (already done RS-9a). Workbook formula baseline preserved at 11; testzip() None. Running total: 25/52 files fully v1.4-conformant (15 pre-RS-9b + 10 this session). Remaining: RS-9c-e (~27 files across 3 more tranches) + the R7/Karoo Opus LX-013 tranche, then RS-10/RS-11 div repairs.</t>
        </is>
      </c>
    </row>
    <row r="57">
      <c r="A57" s="27" t="inlineStr">
        <is>
          <t>RS-9c — v1.4 ROLLOUT TRANCHE 3/5 (3 JUL 2026)</t>
        </is>
      </c>
      <c r="B57" s="28" t="inlineStr">
        <is>
          <t>RS-9c executed at HEAD bbc3885 (RS-9b commit confirmed: Upgrade Assessment spaced-format triplet + WorkingPapers Summary R56 both present live). Fresh conformance matrix rebuilt; corrected the html-triplet detector to strip whitespace before matching (RS-9a/b used no-space files as test cases and the regex missed the spaced-CSS variant seen in several R2x-R3x files, e.g. 'html { overflow-x: hidden; }') -- re-verified all 20 files from RS-9a+b still register correctly with the corrected detector. CENSUS: 24 of the expected 25 registered FULL on the first pass; investigated LC76_Service_Checklist.html separately and confirmed it IS fully conformant -- it has zero horizontal scroll containers in the document (verified by direct grep, not just the heuristic), so the 'overscroll-behavior-x:contain' check is vacuously satisfied; this is a known heuristic limitation (nothing to add, not a defect), documented for continuity across sessions so it isn't re-flagged. True running count entering this session: 25/52. TRANCHE 3 (10 files, smallest-&gt;largest, excl. R7/Karoo): LC76_Border_Crossings_Guide.html (R15, 57.7 KB), LC76_Turbo_Operations_Guide.html (R21, 70.5 KB), LC76_Emergency_Procedures_Guide.html (R10, 71.2 KB), LC76_Cooling_System_Guide.html (R22, 75.7 KB), LC76_Packing_Optimisation_Guide.html (R11, 83.3 KB), LC76_Cross_Reference_Index.html (R30, 89.4 KB), LC76_Pre_Trip_Prep_Protocol.html (R23, 89.7 KB), LC76_1HZ_Troubleshooting_Guide.html (R18, 91.7 KB), LC76_AT_Tyre_Review_R19.html (R19, 94.4 KB), LC76_Fuel_System_Guide.html (R24, 94.8 KB). Per-file edits (surgical, anchor-guarded, count==1): html overflow triplet added to all 10 -- two carried an extra co-resident property preserved alongside the triplet (R30 Cross-Reference Index: scroll-behavior:smooth; R19 AT Tyre Review: font-size:16px); ::before slab added to each sticky selector (.sticky-wrap x8, .sticky-nav-unit x1 for R23 Pre-Trip Prep); overscroll-behavior-x:contain added to inner scrollers (.toc-bar / .tbl-wrap / .matrix-scroll / .flow-wrap / .table-scroll / .spec-table,.triage-table / .cmp-wrap, 1-2 per file); print guard extended to suppress the ::before slab on all 10 (all 10 already had a sticky reset in print -- none were missing this time, unlike several calculators in RS-9b). R15 Border Crossings masthead date bumped 25 March 2026 -&gt; 3 July 2026. R21 Turbo Operations masthead date bumped 24 June 2026 -&gt; 3 July 2026. R18 1HZ Troubleshooting masthead date bumped 04 June 2026 -&gt; 3 July 2026. R10 Emergency Procedures, R11 Packing Optimisation, R19 AT Tyre Review already read 3 July 2026 -&gt; no-op. R22 Cooling System, R23 Pre-Trip Prep, R24 Fuel System carry no masthead 'Last updated' line -&gt; no-op. R30 Cross-Reference Index carries a content sentence 'Last updated: 2 July 2026' inside a library-stats paragraph (not a masthead field) -- correctly left untouched as it describes register content currency, not the file's own edit timestamp; distinguishing this from a genuine masthead date field per the standing figure-type discipline. Gates (all 10 files): div balance open==close confirmed per file (Border Crossings 428/428, Turbo Operations 168/168, Emergency Procedures 324/324, Cooling System 295/295, Packing Optimisation 96/96, Cross-Reference Index 32/32, Pre-Trip Prep 239/239, 1HZ Troubleshooting 511/511, AT Tyre Review 674/674, Fuel System 485/485); node --check PASS on all inline scripts (11 scripts total); html triplet verified present in all 10 post-edit (whitespace-tolerant check). sw.js NO bump (content-only). Workbook formula baseline preserved at 11; testzip() None. Running total: 35/52 files fully v1.4-conformant (25 pre-RS-9c + 10 this session). Remaining: RS-9d-e (~17 files across 2 more tranches) + the R7/Karoo Opus LX-013 tranche, then RS-10/RS-11 div repairs.</t>
        </is>
      </c>
    </row>
    <row r="58">
      <c r="A58" s="27" t="inlineStr">
        <is>
          <t>RS-9d — v1.4 ROLLOUT TRANCHE 4/5 (3 JUL 2026)</t>
        </is>
      </c>
      <c r="B58" s="28" t="inlineStr">
        <is>
          <t>RS-9d executed at HEAD bbc3885 (unchanged from RS-9c start -- RS-9c's batch, both HTML files and its own working-papers row, had NOT yet been committed to GitHub at session start). RECONCILED PER STANDING RULE: rather than wait, proceeded using the live repo for files RS-9c did not touch (safe, since RS-9a/b/c/d all target disjoint file sets) and manually excluded the 10 RS-9c files (plus Service Checklist, already confirmed vacuously compliant) from the candidate pool rather than re-scanning them against the stale pre-edit live copies. This workbook update is built on top of the RS-9c workbook state carried locally from that session (local Summary row 57 present), NOT the live GitHub copy (still at row 56) -- both this batch and RS-9c's remain pending commit; Neil should push RS-9b through RS-9d together (or in sequence) before the next session fetches HEAD. TRANCHE 4 (10 files, smallest-&gt;largest, excl. R7/Karoo, excl. pending RS-9c files): LC76_Spares_Tools.html (R3, 95.5 KB), LC76_Driving_Conditions_Guide.html (R28, 101.6 KB), LC76_Suspension_Steering_Guide.html (R25, 104.8 KB), Tanzania_Overland_Profile_2026-05.html (110.4 KB), LC76_Insurance_Medevac.html (R29, 111.0 KB), Angola_Overland_Profile_2026-04.html (119.3 KB), LC76_Battery_Training_Guide.html (R5, 126.9 KB), LC76_Bush_Mechanics_Guide.html (R27, 127.5 KB), Botswana_Overland_Profile_2026-04.html (127.8 KB), LC76_Seal_Gasket_Atlas.html (R20, 131.6 KB). NOTABLE -- R5 Battery Training Guide required careful manual inspection rather than pattern matching: the file carries THREE candidate sticky selectors from earlier style-swap sessions -- a dead '.hdr' rule and a dead '.masthead,.hero' media-query rule, neither used in the live DOM, alongside the genuinely active '.sticky-wrap' (confirmed via DOM inspection, &lt;div class="sticky-wrap"&gt; at the actual header markup). All v1.4 pattern edits (before-slab, print guard) were applied ONLY to the live '.sticky-wrap' selector; the dead CSS was left untouched as out of scope for pattern-only work. Additionally discovered R5's print block (genuine @media print, not a media-query decoy) only referenced the RETIRED '.hdr' class for print layout and had NO reset for the live '.sticky-wrap' at all -- added '.sticky-wrap{position:static!important}' + before-suppression directly into the real print block. Div balance confirmed unchanged at 611/611 (matches the RS-7 recorded figure), confirming no accidental structural edit. Per-file edits (surgical, anchor-guarded, count==1): html overflow triplet added to all 10 (R20 Seal Gasket Atlas's html rule co-resident with font-size:16px, preserved); ::before slab added to each sticky selector (.sticky-wrap x6, .sticky-nav-unit x3 for the two country profiles + Spares Tools); overscroll-behavior-x:contain added to inner scrollers (.toc-bar / .toc / .table-scroll / .tree-wrap / .flow-wrap / .spec-table / .booking-matrix / .ltable / .wiring / .sysdiag, 1-4 per file); print guard extended on 8 files, ADDED FRESH on 2 (R3 Spares Tools had no sticky reset in its real print block at all; R5 as detailed above). R3 Spares Tools masthead date bumped 'March 2026' (no day) -&gt; '3 July 2026'. Angola and Botswana profiles carry a content-currency 'Last updated' badge (28 April 2026, alongside exchange rates and a changelog link) -- left untouched, consistent with the Tanzania and Cross-Reference-Index precedent: these describe itinerary/profile research currency, not a technical masthead timestamp, and pattern-only sessions should not imply content was refreshed. R20 Seal Gasket Atlas masthead already reads '3 July 2026' -&gt; no-op. R25/R28/R29 carry no masthead 'Last updated' line -&gt; no-op. Gates (all 10 files): div balance open==close confirmed per file (Spares Tools 460/460, Driving Conditions 215/215, Suspension &amp; Steering 556/556, Tanzania 374/374, Insurance &amp; Medevac 302/302, Battery Training Guide 611/611, Bush Mechanics 815/815, Botswana 290/290, Seal Gasket Atlas 1304/1304, Angola 299/299); node --check PASS on all inline scripts (21 scripts total, several profile files carry 5-6 script blocks); html triplet verified present in all 10 post-edit. sw.js NO bump (content-only). Workbook formula baseline preserved at 11; testzip() None. Running total: 45/52 files fully v1.4-conformant once RS-9a-d are all committed (35 confirmed + 10 this session, pending push). Remaining: RS-9e (final tranche, ~7 files) + the R7/Karoo Opus LX-013 tranche, then RS-10/RS-11 div repairs.</t>
        </is>
      </c>
    </row>
    <row r="59">
      <c r="A59" s="27" t="inlineStr">
        <is>
          <t>RS-9e — v1.4 ROLLOUT TRANCHE 5/5, FINAL (3 JUL 2026)</t>
        </is>
      </c>
      <c r="B59" s="28" t="inlineStr">
        <is>
          <t>RS-9e executed at HEAD f6b9ba0 (RS-9c AND RS-9d both confirmed committed in this session start -- two new commits since RS-9b's HEAD, Neil pushed both pending batches together as flagged in the RS-9d closure). Fresh conformance matrix: 44/52 files register FULL programmatically; Service Checklist (the known heuristic false-negative, zero horizontal scrollers, confirmed compliant in RS-9c) brings the true count to 45/52 entering this session. TRANCHE 5 -- FINAL non-Opus tranche (5 files, all remaining excl. R7/Karoo): Zambia_Overland_Profile_2026-04.html (132.6 KB), LC76_Service_History.html (R8, 145.5 KB), LC76_Kalahari_Profile_2026-04.html (156.9 KB), Namibia_Overland_Profile_2026-04.html (163.9 KB), LC76_Engine_Training.html (R4, 221.8 KB). Per-file edits (surgical, anchor-guarded, count==1): html overflow triplet added to all 5 (R8 Service History had NO html{} rule at all -- inserted fresh, same gap pattern seen in several calculators/profiles this programme); ::before slab added to each sticky selector (.sticky-nav-unit x3 for the three profiles, .sticky-wrap x2 for R8 and R4); overscroll-behavior-x:contain added to inner scrollers (.table-scroll / .toc-bar / .spec-table / .booking-matrix / .table-wrapper / .ref-table,.fluid-table incl. a thead/tbody-qualified duplicate rule in R4, 1-4 per file); print guard extended on all 5 (all had an existing sticky reset already). PRE-EXISTING DIV IMBALANCES DELIBERATELY LEFT UNTOUCHED (LX-011/F35, RS-10/RS-11 scope): Zambia confirmed still 324/325 (1 stray &lt;/div&gt;, matches audit figure exactly) and R4 Engine Training confirmed still 939/942 (3 stray &lt;/div&gt;, matches audit figure exactly) after this session's typography/pattern-only edits -- verified the counts are unchanged from the audit baseline, confirming no incidental structural edit occurred and the bisection-repair scope for RS-10/RS-11 remains exactly as sized. No masthead date bumps this session: R8 Service History already read 3 July 2026; R4 Engine Training carries no masthead 'Last updated' line; the three profiles (Zambia, Kalahari, Namibia) each carry a content-currency 'Last updated' badge (28-29 April 2026, alongside exchange rates and a changelog link) -- left untouched per the established precedent (Tanzania/Angola/Botswana/Cross-Reference-Index), as these describe research currency, not a technical masthead timestamp. Gates (all 5 files): div balance confirmed per file -- Zambia 324/325 (pre-existing, expected), Service History 223/223, Kalahari 405/405, Namibia 290/290, Engine Training 939/942 (pre-existing, expected); node --check PASS on all inline scripts (20 scripts total); html triplet verified present in all 5 post-edit. sw.js NO bump (content-only). Workbook formula baseline preserved at 11; testzip() None. LX-008 CLOSED this session (E-&gt;RESOLVED, H-&gt;'Closed - RS-9e (F28/F29; R7/Karoo tranche tracked separately under LX-013)') -- the ~47-file v1.4 rollout is now complete; only the R7+Karoo restyle-plus-pattern tranche (LX-013, Opus) remains outstanding from the typography/pattern work programme. F28 and F29 close with this row. PROGRAMME STATE: 50/52 files now fully v1.4-conformant (45 confirmed + 5 this session); remaining 2 are R7 and Karoo, both gated on the Opus LX-013 mono/body restyle tranche (not run this session -- flagged for a dedicated Opus-routed session per the handover pack's model routing rule). After that: RS-10 (R4 div repair, 3 stray tags) and RS-11 (Zambia div repair, 1 stray tag) remain, both Opus-routed bisection sessions, closing F35 and the full F18-F37 set.</t>
        </is>
      </c>
    </row>
    <row r="60">
      <c r="A60" s="27" t="inlineStr">
        <is>
          <t>RS-9 LX-013 TRANCHE — R7 + KAROO RESTYLE + v1.4 (OPUS, 3 JUL 2026)</t>
        </is>
      </c>
      <c r="B60" s="28" t="inlineStr">
        <is>
          <t>R7 + Karoo Opus tranche executed at HEAD 2dbbced (RS-9e confirmed committed: WorkingPapers Summary R59 + LX-008 closed both present live). This is the LX-013 close and the final two files of the v1.4 rollout -- both were deliberately held out of RS-9a-e (excluded from every tranche's candidate pool) because they carry the off-system JetBrains Mono / Nunito Sans faces and needed a restyle, not a rote pattern drop; run on Opus per the handover pack's model routing rule (restyle + metric-sensitive table/label face swap). Both files under 80 KB (R7 42 KB, Karoo 60 KB) so both done in one session within the large-file rule. Fresh census at this HEAD confirmed R7 + Karoo were still the only two JetBrains Mono files before scoping. R7 (LC76_LiFePO4_System_Report.html) -- TYPOGRAPHY: font link rebuilt (dropped JetBrains+Mono and Nunito+Sans, added IBM+Plex+Mono:wght@400;500;600; the second link keeping Oswald + Bebas Neue untouched); 'JetBrains Mono',monospace -&gt; 'IBM Plex Mono',monospace across 38 CSS sites (batch-per-class swap, pre-count asserted 38, post-count asserted 0 -- census showed 38 CSS occurrences, one more than the handover's 37 estimate; all caught); 'Nunito Sans',sans-serif -&gt; 'Oswald','Arial Narrow',sans-serif across 3 sites (body, .hero-sub, .crv.note). The 1 pre-existing orphaned 'IBM Plex Mono' declaration (.lib-home-btn) is reconciled automatically -- it becomes a valid/imported face now that IBM Plex Mono is in the link (post-edit IBM Plex Mono count 39 = 38 swapped + 1 formerly-orphaned). v1.4 PATTERN (R7 had none): html triplet; .sticky-wrap ::before slab (background var(--coal) to match this file's dark palette token, not var(--ink)); overscroll-behavior-x:contain on the .wiring mobile scroller (the only horizontal scroller -- .toc-grid is flex-wrap, not a scroller); print guard ::before suppression appended to the existing .sticky-wrap print reset. Confirmed hero(masthead)+toc correctly share one .sticky-wrap. Post-edit font sweep: JetBrains Mono 0, Nunito Sans 0. Karoo (LC76_Karoo_Winter_Loop_2026.html) -- TYPOGRAPHY: font link JetBrains+Mono -&gt; IBM+Plex+Mono:wght@400;500;600 (Bebas + Oswald already present from RS-6, kept); 'JetBrains Mono',monospace -&gt; 'IBM Plex Mono',monospace across 20 sites (batch-per-class, asserted 20-&gt;0). No body/display change (Karoo was cleared to system faces for body/display in RS-6; only the mono face remained off-system). v1.4 PATTERN: html triplet; sticky selector is the ID #sticky-nav (not a class) -- added background:var(--ink) (it was transparent, relying on child masthead/toc fills; the opaque background + slab now cover the safe-area inset gap) plus the ::before slab; overscroll-behavior-x:contain on .table-scroll and the .toc mobile scroller; print guard ::before suppression appended to the existing #sticky-nav print reset. Karoo's #updated-banner content-currency date left untouched (research currency, not a masthead timestamp -- same treatment as the country profiles). Post-edit font sweep: JetBrains Mono 0. Neither file carries a masthead 'Last updated' line -&gt; no date bump (standing rule: files without one get nothing added). Gates (both files): div balance open==close (R7 211/211, Karoo 260/260); node --check PASS on all inline scripts; off-system sweep to zero (no JetBrains Mono / Nunito Sans remain in either); both files re-scanned against the full 8-dimension v1.4 conformance matrix and register FULL. sw.js NO bump (content-only edits to existing precached files). index.html 'Last Updated' NO bump needed (already 3 July 2026 from the RS-9a commit). Workbook formula baseline preserved at 11; testzip() None. LX-013 CLOSED (E-&gt;RESOLVED, H-&gt;'Closed - R7+Karoo restyle+pattern (Opus tranche)'). MILESTONE: 52/52 files now fully v1.4-conformant -- the entire v1.4 mobile PWA rollout (F28, F29, LX-008, LX-013) is COMPLETE, and the library carries a single consistent on-system typography set (Bebas Neue / Oswald / IBM Plex Mono) with no off-design-system faces anywhere. Remaining programme work: RS-10 (R4 Engine Training div repair, 3 stray &lt;/div&gt;, 939/942) and RS-11 (Zambia profile div repair, 1 stray &lt;/div&gt;, 324/325) -- both structural bisection repairs, both Opus-routed; R4 at 221 KB is a named 'fresh chat' file per Project Instructions. These close F35/LX-011 and, with them, the full F18-F37 post-audit finding set.</t>
        </is>
      </c>
    </row>
    <row r="61">
      <c r="A61" s="27" t="inlineStr">
        <is>
          <t>RS-11 — ZAMBIA PROFILE DIV REPAIR + LX-014 (OPUS, 3 JUL 2026)</t>
        </is>
      </c>
      <c r="B61" s="28" t="inlineStr">
        <is>
          <t>RS-11 executed at HEAD 2dbbced on the live Zambia_Overland_Profile_2026-04.html, which already carries the RS-9e v1.4 pattern (triplet + sticky-nav-unit::before slab + overscroll contain all confirmed present pre-repair) -- the div repair was built directly on the live committed file so the RS-9e work is preserved, not regressed. NOTE ON RUN ORDER: Neil routed RS-10 (R4, 221 KB) to a dedicated fresh chat per the Project Instructions large-file rule, and asked for RS-11 first; so this session does the Zambia half of LX-011/F35 only -- F35 and LX-011 remain OPEN pending RS-10 (R4). The handover pack's assumption that RS-11 would close F35 outright no longer holds given the split. METHOD (bisection, not eyeballing, per brief): tokenised every &lt;div&gt;/&lt;/div&gt; in document order, tracked running depth by line. Depth returned to 0 at L1027 (top level) then went to -1 at L1028 and recovered to 0 at L1030 -- a tight, unambiguous localisation. Inspection of L1028 revealed a duplication/paste artifact: the subsec heading line '&lt;div class="subsec"&gt;&lt;span class="subsec-title"&gt;— Livingstone &amp;amp; Victoria Falls&lt;/span&gt;&lt;/div&gt;' had a garbage tail pasted onto it -- a stray '&gt;', duplicate title text, an extra '&lt;/span&gt;', and the stray '&lt;/div&gt;'. This single line carried 1 div-open + 2 div-closes (the -1 imbalance) AND would have rendered a literal '&gt;— Livingstone &amp; Victoria Falls' visibly after the heading. FIX 1 (RS-11 / F35 / LX-011 Zambia half): removed the duplicated garbage tail, restoring the line to its correct single-heading form. Div balance 324/325 -&gt; 324/324; full depth walk confirms final=0, min_depth=0, zero negative events. DISCOVERED IN-SESSION -&gt; LX-014: the same-file span balance was 147/149 (-2), only -1 of which was the L1028 artifact. A span depth walk localised the second defect to L271: an orphan '&lt;/span&gt;' in the .std-eyebrow masthead flag structure -- the .masthead-flag span already closes cleanly at L268 and the two .flag-third-h stripe spans are self-contained, leaving L271's '&lt;/span&gt;' with no matching open (a leftover from a removed wrapper element). Judgment call: fixed it in-session rather than logging for a later session -- same class of defect (orphan closing tag breaking tag-balance in the same file), trivial and unambiguous, and delivering a 'tag-balance repair' with a known residual span imbalance would be poor craftsmanship. Raised as LX-014 and closed same session for a complete audit trail; flagged prominently to Neil for veto. FIX 2 (LX-014): removed the orphan '&lt;/span&gt;' at L271. Span balance 147/149 -&gt; 147/147. GATES: div depth walk OK (0/0/0), span depth walk OK (0/0/0); all other container tags balanced (header 1/1, table 16/16, ul 23/23, a 30/30, h1 1/1, h3 15/15); node --check PASS on all inline scripts (5 non-empty of 6 blocks); RS-9e v1.4 pattern confirmed still intact post-repair. No content changes beyond removing the two invalid artifacts. sw.js NO bump (content-only). No masthead 'Last updated' field (the '28 April 2026' banner is content-currency, left untouched). Workbook: LX-011 status updated to 'Zambia closed RS-11; R4 remains -&gt; RS-10 (F35)' (stays OPEN); LX-014 raised and closed; formula baseline preserved at 11; testzip() None. PROGRAMME STATE: the only remaining item is RS-10 (R4 Engine Training, 3 stray &lt;/div&gt; at 939/942), to be run in a dedicated fresh Opus chat. When RS-10 lands, F35 and LX-011 close and, with them, the full F18-F37 post-audit finding set. A handover pack for the RS-10 fresh chat accompanies this session.</t>
        </is>
      </c>
    </row>
    <row r="62">
      <c r="A62" s="27" t="inlineStr">
        <is>
          <t>RS-10 — R4 ENGINE TRAINING DIV REPAIR (OPUS, 4 JUL 2026) — PROGRAMME F18–F37 CLOSED</t>
        </is>
      </c>
      <c r="B62" s="28" t="inlineStr">
        <is>
          <t>RS-10 executed at HEAD 5aee0e7 (RS-11 confirmed committed live: Zambia div 324/324, WorkingPapers Summary R61 both present at HEAD, one commit ahead of the handover pack's 2dbbced reference — R4 itself untouched between 2dbbced and 5aee0e7, so its live state matched the pack's diagnosis unchanged). Target LC76_Engine_Training.html (R4, 227.5 KB, own-session per &gt;80KB single-file rule, fresh Opus chat per Project Instructions large-file rule). METHOD (bisection per brief, not eyeballing): tokenised every &lt;div&gt;/&lt;/div&gt; in document order, tracked running depth by line; pre-repair depth walk confirmed 939/942 (open/close), final depth -3, exactly matching the RS-9e-recorded figure (no incidental drift since audit baseline). Record-low analysis (first time depth reaches each new all-time minimum) localised the three strays precisely to L1079 (first hits -1), L1771 (first hits -2), L1989 (first hits -3) — an exact match to the handover pack's bisection. STRAY #1 (L1079) STRUCTURAL CHECK: walked the open side of .sticky-wrap (opens L298) and found it already closes legitimately and unambiguously at L384 with its own '&lt;!-- /sticky-wrap --&gt;' comment, immediately after the .toc-bar div — i.e. sticky-wrap correctly wraps ONLY masthead+TOC in R4, matching every other library file's pattern (interpretation (a) from the handover pack, confirmed). L1079's '&lt;/div&gt;&lt;!-- end sticky-wrap --&gt;' is therefore a mislabeled orphan comment/tag left over from an earlier structural generation, not a second legitimate close — confirmed by the local depth walk returning cleanly to baseline 0 at L1078 (closing .components-grid) immediately before the stray. STRAYS #2 (L1771) and #3 (L1989): both confirmed as the clean, solitary cases the handover pack anticipated — lone &lt;/div&gt; lines separated by blank lines from the preceding close-stack and the following section-header/comment (SECTION 11 and SECTION 12 BRAKES respectively); local depth walks on each enclosing section confirmed the stack returns to correct baseline one close before each stray. FIX: removed exactly the 3 stray closing tags (L1079, L1771, L1772-blank, L1989 + its preceding blank line) via anchor-guarded str_replace (assert count==1 on each, using the surrounding close-stack + blank line + next section marker as the unique anchor, per the brief's non-bare-tag guidance). No other lines touched — diff confirms only the 3 stray-related deletions. GATES: div depth walk 939/939, final=0, min_depth=0, neg_events=0 (clean walk, not just a count match); span depth walk 468/468, final=0, min_depth=0, neg_events=0; other container tags spot-checked and balanced (header 0/0 — R4 uses no &lt;header&gt; tag, table 2/2, ul 0/0, ol 0/0, section 0/0, a 76/76); node --check PASS on both non-empty inline &lt;script&gt; blocks. v1.4 pattern (RS-9e) confirmed fully intact post-repair: html overflow triplet count 1, .sticky-wrap::before count 2, sticky-wrap print guard (position:static!important) present, ref-table/fluid-table overscroll-behavior-x:contain count unchanged at 4 — no regression to the mobile PWA pattern. No masthead 'Last updated' line in R4 -&gt; no date bump (standing rule, file has none). index.html 'Last Updated' bumped 3 July 2026 -&gt; 4 July 2026 per the standing automatic rule (library file changed; session run one calendar day later than the RS-9/RS-11 batch). sw.js NO bump (content-only edit to an existing precached file, no add/remove/rename). F35 CLOSED. LX-011 CLOSED (E: OPEN -&gt; RESOLVED; H: 'Zambia closed RS-11; R4 remains -&gt; RS-10 (F35)' -&gt; 'Closed — R4 RS-10 + Zambia RS-11 (F35)'). Formula-occurrence baseline preserved at 11 (9 formula cells; B12 and B18 each carry two COUNTIF/COUNTIFS occurrences); no formula cells touched; testzip() None.</t>
        </is>
      </c>
    </row>
    <row r="63">
      <c r="A63" s="27" t="inlineStr">
        <is>
          <t>PROGRAMME CLOSED — F18–F37 POST-INSTALL AUDIT REMEDIATION COMPLETE (4 JUL 2026)</t>
        </is>
      </c>
      <c r="B63" s="28" t="inlineStr">
        <is>
          <t>With RS-10's R4 div repair landing this session, every finding in the F18-F37 post-install-audit set (issued following the all-Victron LiFePO4 install) is now closed: F18-F27, F28/F29 (v1.4 rollout, LX-008), F30 (LX-009), F31 (LX-010), F32/F33 (LX-012), F34 (RS-8 Design Guidelines), F35/F36/F37 and LX-011/LX-013/LX-014, the last two resolved across RS-9's LX-013 Opus tranche and this session's RS-10 + RS-11 pairing. Net programme result: 52/52 precached library files carry the v1.4 mobile PWA pattern; the entire library reads on a single consistent on-system typography set (Bebas Neue / Oswald / IBM Plex Mono) with zero off-design-system faces; every HTML file in the library (including R4 and the Zambia profile, the last two structural holdouts) passes a clean div AND span depth walk (open==close, final==0, min_depth==0, neg_events==0); Design Guidelines promoted to v1.5 with both TOC-navigation JS patterns formally documented. RS-1 through RS-11 executed across eleven sessions from the 3 July 2026 post-install audit through the 4 July 2026 R4 closure. The sole item remaining from the pre-programme working papers is TA-002 (weighbridge verification of kerb/payload) — owner-gated (requires a physical weighbridge visit), explicitly outside the scope of this remediation programme, and tracked separately in TA_Register. No further Summary rows are anticipated under this programme; a fresh audit cycle would open a new finding series (F38+) if warranted.</t>
        </is>
      </c>
    </row>
    <row r="64">
      <c r="A64" s="27" t="inlineStr">
        <is>
          <t>EX PROGRAMME CHARTER REGISTERED (4 JUL 2026)</t>
        </is>
      </c>
      <c r="B64" s="28" t="inlineStr">
        <is>
          <t>Expedition Readiness Programme (EX-1–EX-9) charter approved by owner 4 Jul 2026 (handover doc 'LC76 EX Programme Charter'). RS close-out executed this session: LC76_Library_Audit_2026-07.html updated to mark RS-1–RS-11 complete / F35 closed / owner gates G1–G4 all resolved (status boxes in the established audit style — Section 05 header + COMPLETE note-box, per-RS DONE pills, Owner-Gates ALL-RESOLVED box, footer). New EX_Register sheet appended (ID|Session|Scope|Status|Date|Evidence/Notes) seeding EX-1…EX-9 as PENDING; that sheet — not this Summary — is the running status register for the EX programme henceforth. State confirmed pre-close: all LX rows (LX-001…LX-014) Closed; sole remediation-open TA = TA-002 (weighbridge, owner-gated); advisory-standing TA-007–010 unchanged. Gates: workbook formula-occurrence baseline preserved at 11 (no formula cells touched); testzip()==None; styles cloned via copy.copy(). sw.js NO bump and index.html NO bump — neither the audit doc nor the working papers is precached/indexed (internal governance files). Deliverables: LC76_Library_Audit_2026-07.html, LC76_Library_Audit_WorkingPapers.xlsx. NB when built, EX profiles 007–010 and R37/R38/R39 require web research + new-file sw.js bumps per their specs; this close-out adds no library files.</t>
        </is>
      </c>
    </row>
    <row r="65">
      <c r="A65" s="27" t="inlineStr">
        <is>
          <t>WORKING-PAPERS STATUS PASS — RA-1 / TA-002 CLOSED (24 SEP 2026)</t>
        </is>
      </c>
      <c r="B65" s="28" t="inlineStr">
        <is>
          <t>OI-111 executed. The loaded weighbridge (done 10 Aug 2026, closed in the register as OI-1) is now shown as done here too: RA-1 CLOSED, TA-002 Closed. The rest of the RA rows were checked against the Open Items Register and brought into line (RA-4 ruled 24 Jul; RA-9 set fitted 17 Sep); every still-open row names its live register item. TA-038's blank status set to Closed. The F10 (weighbridge) item carried from Phase 1 (row 23) is therefore discharged. Detail: EX_Register row OI-111-WP-PASS.</t>
        </is>
      </c>
    </row>
    <row r="66">
      <c r="A66" s="27" t="inlineStr">
        <is>
          <t>SUMMARY COUNTS CORRECTED (24 SEP 2026, owner-approved)</t>
        </is>
      </c>
      <c r="B66" s="28" t="inlineStr">
        <is>
          <t>Four FINDINGS formulas counted only an exact status word, so they missed 'Open (advisory)', 'OPEN — OI-60' and 'Closed (§5)', and the High/safety line counted every finding ever raised, open or closed. Now: B17 and B20 count any status starting 'Open' (COUNTIF wildcards ignore case); B19 counts any status starting 'Closed'; B18 counts High/safety findings that are still OPEN, as its 'of which' label says. Expected on recalculation: TA open 4 (all advisory), of which High/safety 0, TA closed 35, LX open 1 (LX-016, OI-60). Formula-cell baseline stays 9 (same nine cells, still COUNTIF/COUNTIFS). Old formulas: B17 =COUNTIFS(TA_Register!L:L,"Open"); B18 =COUNTIFS(TA_Register!F:F,"HIGH")+COUNTIFS(TA_Register!F:F,"S"); B19 =COUNTIF(TA_Register!L:L,"Closed"); B20 =COUNTIF(LX_Register!H:H,"Open").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5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0" min="1" max="1"/>
    <col width="46" customWidth="1" style="20" min="2" max="2"/>
    <col width="5" customWidth="1" style="20" min="3" max="3"/>
    <col width="11" customWidth="1" style="20" min="4" max="4"/>
    <col width="8" customWidth="1" style="20" min="5" max="5"/>
    <col width="11" customWidth="1" style="20" min="6" max="6"/>
    <col width="7" customWidth="1" style="20" min="7" max="7"/>
    <col width="26" customWidth="1" style="20" min="8" max="8"/>
    <col width="7" customWidth="1" style="20" min="9" max="9"/>
    <col width="9" customWidth="1" style="20" min="10" max="10"/>
    <col width="40" customWidth="1" style="20" min="11" max="11"/>
  </cols>
  <sheetData>
    <row r="1" ht="15" customHeight="1" s="21">
      <c r="A1" s="31" t="inlineStr">
        <is>
          <t>#</t>
        </is>
      </c>
      <c r="B1" s="31" t="inlineStr">
        <is>
          <t>File</t>
        </is>
      </c>
      <c r="C1" s="31" t="inlineStr">
        <is>
          <t>R#</t>
        </is>
      </c>
      <c r="D1" s="31" t="inlineStr">
        <is>
          <t>Family</t>
        </is>
      </c>
      <c r="E1" s="31" t="inlineStr">
        <is>
          <t>Pattern</t>
        </is>
      </c>
      <c r="F1" s="31" t="inlineStr">
        <is>
          <t>Scope</t>
        </is>
      </c>
      <c r="G1" s="31" t="inlineStr">
        <is>
          <t>Large?</t>
        </is>
      </c>
      <c r="H1" s="31" t="inlineStr">
        <is>
          <t>Tranche</t>
        </is>
      </c>
      <c r="I1" s="31" t="inlineStr">
        <is>
          <t>HTTP</t>
        </is>
      </c>
      <c r="J1" s="31" t="inlineStr">
        <is>
          <t>Bytes</t>
        </is>
      </c>
      <c r="K1" s="31" t="inlineStr">
        <is>
          <t>Notes</t>
        </is>
      </c>
    </row>
    <row r="2" ht="15" customHeight="1" s="21">
      <c r="A2" s="32" t="n">
        <v>1</v>
      </c>
      <c r="B2" s="32" t="inlineStr">
        <is>
          <t>LC76_Fuel_Range_Calculator.html</t>
        </is>
      </c>
      <c r="C2" s="32" t="n"/>
      <c r="D2" s="32" t="inlineStr">
        <is>
          <t>Calculator</t>
        </is>
      </c>
      <c r="E2" s="32" t="inlineStr">
        <is>
          <t>B</t>
        </is>
      </c>
      <c r="F2" s="32" t="inlineStr">
        <is>
          <t>In</t>
        </is>
      </c>
      <c r="G2" s="32" t="inlineStr">
        <is>
          <t>N</t>
        </is>
      </c>
      <c r="H2" s="32" t="inlineStr">
        <is>
          <t>T1</t>
        </is>
      </c>
      <c r="I2" s="32" t="n">
        <v>200</v>
      </c>
      <c r="J2" s="32" t="n">
        <v>45624</v>
      </c>
      <c r="K2" s="32" t="n"/>
    </row>
    <row r="3" ht="15" customHeight="1" s="21">
      <c r="A3" s="32" t="n">
        <v>2</v>
      </c>
      <c r="B3" s="32" t="inlineStr">
        <is>
          <t>LC76_Trip_Fuel_Planner.html</t>
        </is>
      </c>
      <c r="C3" s="32" t="n"/>
      <c r="D3" s="32" t="inlineStr">
        <is>
          <t>Calculator</t>
        </is>
      </c>
      <c r="E3" s="32" t="inlineStr">
        <is>
          <t>B</t>
        </is>
      </c>
      <c r="F3" s="32" t="inlineStr">
        <is>
          <t>In</t>
        </is>
      </c>
      <c r="G3" s="32" t="inlineStr">
        <is>
          <t>N</t>
        </is>
      </c>
      <c r="H3" s="32" t="inlineStr">
        <is>
          <t>T1</t>
        </is>
      </c>
      <c r="I3" s="32" t="n">
        <v>200</v>
      </c>
      <c r="J3" s="32" t="n">
        <v>38765</v>
      </c>
      <c r="K3" s="32" t="n"/>
    </row>
    <row r="4" ht="15" customHeight="1" s="21">
      <c r="A4" s="32" t="n">
        <v>3</v>
      </c>
      <c r="B4" s="32" t="inlineStr">
        <is>
          <t>LC76_Fuel_Log_Analyser.html</t>
        </is>
      </c>
      <c r="C4" s="32" t="n"/>
      <c r="D4" s="32" t="inlineStr">
        <is>
          <t>Calculator</t>
        </is>
      </c>
      <c r="E4" s="32" t="inlineStr">
        <is>
          <t>B</t>
        </is>
      </c>
      <c r="F4" s="32" t="inlineStr">
        <is>
          <t>In</t>
        </is>
      </c>
      <c r="G4" s="32" t="inlineStr">
        <is>
          <t>N</t>
        </is>
      </c>
      <c r="H4" s="32" t="inlineStr">
        <is>
          <t>T1</t>
        </is>
      </c>
      <c r="I4" s="32" t="n">
        <v>200</v>
      </c>
      <c r="J4" s="32" t="n">
        <v>56829</v>
      </c>
      <c r="K4" s="32" t="n"/>
    </row>
    <row r="5" ht="15" customHeight="1" s="21">
      <c r="A5" s="32" t="n">
        <v>4</v>
      </c>
      <c r="B5" s="32" t="inlineStr">
        <is>
          <t>LC76_Water_Budget_Calculator.html</t>
        </is>
      </c>
      <c r="C5" s="32" t="n"/>
      <c r="D5" s="32" t="inlineStr">
        <is>
          <t>Calculator</t>
        </is>
      </c>
      <c r="E5" s="32" t="inlineStr">
        <is>
          <t>B</t>
        </is>
      </c>
      <c r="F5" s="32" t="inlineStr">
        <is>
          <t>In</t>
        </is>
      </c>
      <c r="G5" s="32" t="inlineStr">
        <is>
          <t>N</t>
        </is>
      </c>
      <c r="H5" s="32" t="inlineStr">
        <is>
          <t>T1</t>
        </is>
      </c>
      <c r="I5" s="32" t="n">
        <v>200</v>
      </c>
      <c r="J5" s="32" t="n">
        <v>39126</v>
      </c>
      <c r="K5" s="32" t="n"/>
    </row>
    <row r="6" ht="34.5" customHeight="1" s="21">
      <c r="A6" s="32" t="n">
        <v>5</v>
      </c>
      <c r="B6" s="32" t="inlineStr">
        <is>
          <t>LC76_LiFePO4_Calculator.html</t>
        </is>
      </c>
      <c r="C6" s="32" t="n"/>
      <c r="D6" s="32" t="inlineStr">
        <is>
          <t>Calculator</t>
        </is>
      </c>
      <c r="E6" s="32" t="inlineStr">
        <is>
          <t>B</t>
        </is>
      </c>
      <c r="F6" s="32" t="inlineStr">
        <is>
          <t>In</t>
        </is>
      </c>
      <c r="G6" s="32" t="inlineStr">
        <is>
          <t>N</t>
        </is>
      </c>
      <c r="H6" s="32" t="inlineStr">
        <is>
          <t>T1 (subject overlaps deferred LiFePO4 sys — audit maths only)</t>
        </is>
      </c>
      <c r="I6" s="32" t="n">
        <v>200</v>
      </c>
      <c r="J6" s="32" t="n">
        <v>45103</v>
      </c>
      <c r="K6" s="32" t="n"/>
    </row>
    <row r="7" ht="15" customHeight="1" s="21">
      <c r="A7" s="32" t="n">
        <v>6</v>
      </c>
      <c r="B7" s="32" t="inlineStr">
        <is>
          <t>LC76_Tyre_Pressure_Calculator.html</t>
        </is>
      </c>
      <c r="C7" s="32" t="n"/>
      <c r="D7" s="32" t="inlineStr">
        <is>
          <t>Calculator</t>
        </is>
      </c>
      <c r="E7" s="32" t="inlineStr">
        <is>
          <t>B</t>
        </is>
      </c>
      <c r="F7" s="32" t="inlineStr">
        <is>
          <t>In</t>
        </is>
      </c>
      <c r="G7" s="32" t="inlineStr">
        <is>
          <t>N</t>
        </is>
      </c>
      <c r="H7" s="32" t="inlineStr">
        <is>
          <t>T1</t>
        </is>
      </c>
      <c r="I7" s="32" t="n">
        <v>200</v>
      </c>
      <c r="J7" s="32" t="n">
        <v>46216</v>
      </c>
      <c r="K7" s="32" t="n"/>
    </row>
    <row r="8" ht="15" customHeight="1" s="21">
      <c r="A8" s="32" t="n">
        <v>7</v>
      </c>
      <c r="B8" s="32" t="inlineStr">
        <is>
          <t>LC76_Overlanders_Manifesto.html</t>
        </is>
      </c>
      <c r="C8" s="32" t="n"/>
      <c r="D8" s="32" t="inlineStr">
        <is>
          <t>Ethos</t>
        </is>
      </c>
      <c r="E8" s="32" t="inlineStr">
        <is>
          <t>A</t>
        </is>
      </c>
      <c r="F8" s="32" t="inlineStr">
        <is>
          <t>In-light</t>
        </is>
      </c>
      <c r="G8" s="32" t="inlineStr">
        <is>
          <t>N</t>
        </is>
      </c>
      <c r="H8" s="32" t="inlineStr">
        <is>
          <t>T7</t>
        </is>
      </c>
      <c r="I8" s="32" t="n">
        <v>200</v>
      </c>
      <c r="J8" s="32" t="n">
        <v>46324</v>
      </c>
      <c r="K8" s="32" t="n"/>
    </row>
    <row r="9" ht="15" customHeight="1" s="21">
      <c r="A9" s="32" t="n">
        <v>8</v>
      </c>
      <c r="B9" s="32" t="inlineStr">
        <is>
          <t>LC76_Overlanders_Manifesto_Commentary.html</t>
        </is>
      </c>
      <c r="C9" s="32" t="n"/>
      <c r="D9" s="32" t="inlineStr">
        <is>
          <t>Ethos</t>
        </is>
      </c>
      <c r="E9" s="32" t="inlineStr">
        <is>
          <t>A</t>
        </is>
      </c>
      <c r="F9" s="32" t="inlineStr">
        <is>
          <t>In-light</t>
        </is>
      </c>
      <c r="G9" s="32" t="inlineStr">
        <is>
          <t>N</t>
        </is>
      </c>
      <c r="H9" s="32" t="inlineStr">
        <is>
          <t>T7</t>
        </is>
      </c>
      <c r="I9" s="32" t="n">
        <v>200</v>
      </c>
      <c r="J9" s="32" t="n">
        <v>78006</v>
      </c>
      <c r="K9" s="32" t="n"/>
    </row>
    <row r="10" ht="15" customHeight="1" s="21">
      <c r="A10" s="32" t="n">
        <v>9</v>
      </c>
      <c r="B10" s="32" t="inlineStr">
        <is>
          <t>LC76_Reference_Card.html</t>
        </is>
      </c>
      <c r="C10" s="32" t="inlineStr">
        <is>
          <t>R1</t>
        </is>
      </c>
      <c r="D10" s="32" t="inlineStr">
        <is>
          <t>Reference</t>
        </is>
      </c>
      <c r="E10" s="32" t="inlineStr">
        <is>
          <t>A</t>
        </is>
      </c>
      <c r="F10" s="32" t="inlineStr">
        <is>
          <t>In</t>
        </is>
      </c>
      <c r="G10" s="32" t="inlineStr">
        <is>
          <t>N</t>
        </is>
      </c>
      <c r="H10" s="32" t="inlineStr">
        <is>
          <t>T4</t>
        </is>
      </c>
      <c r="I10" s="32" t="n">
        <v>200</v>
      </c>
      <c r="J10" s="32" t="n">
        <v>29847</v>
      </c>
      <c r="K10" s="32" t="n"/>
    </row>
    <row r="11" ht="15" customHeight="1" s="21">
      <c r="A11" s="32" t="n">
        <v>10</v>
      </c>
      <c r="B11" s="32" t="inlineStr">
        <is>
          <t>LC76_Departure_Checklist.html</t>
        </is>
      </c>
      <c r="C11" s="32" t="inlineStr">
        <is>
          <t>R2</t>
        </is>
      </c>
      <c r="D11" s="32" t="inlineStr">
        <is>
          <t>Reference</t>
        </is>
      </c>
      <c r="E11" s="32" t="inlineStr">
        <is>
          <t>A</t>
        </is>
      </c>
      <c r="F11" s="32" t="inlineStr">
        <is>
          <t>In</t>
        </is>
      </c>
      <c r="G11" s="32" t="inlineStr">
        <is>
          <t>N</t>
        </is>
      </c>
      <c r="H11" s="32" t="inlineStr">
        <is>
          <t>T4</t>
        </is>
      </c>
      <c r="I11" s="32" t="n">
        <v>200</v>
      </c>
      <c r="J11" s="32" t="n">
        <v>56374</v>
      </c>
      <c r="K11" s="32" t="n"/>
    </row>
    <row r="12" ht="15" customHeight="1" s="21">
      <c r="A12" s="32" t="n">
        <v>11</v>
      </c>
      <c r="B12" s="32" t="inlineStr">
        <is>
          <t>LC76_Spares_Tools.html</t>
        </is>
      </c>
      <c r="C12" s="32" t="inlineStr">
        <is>
          <t>R3</t>
        </is>
      </c>
      <c r="D12" s="32" t="inlineStr">
        <is>
          <t>Reference</t>
        </is>
      </c>
      <c r="E12" s="32" t="inlineStr">
        <is>
          <t>A</t>
        </is>
      </c>
      <c r="F12" s="32" t="inlineStr">
        <is>
          <t>In</t>
        </is>
      </c>
      <c r="G12" s="32" t="inlineStr">
        <is>
          <t>N</t>
        </is>
      </c>
      <c r="H12" s="32" t="inlineStr">
        <is>
          <t>T3</t>
        </is>
      </c>
      <c r="I12" s="32" t="n">
        <v>200</v>
      </c>
      <c r="J12" s="32" t="n">
        <v>97473</v>
      </c>
      <c r="K12" s="32" t="n"/>
    </row>
    <row r="13" ht="15" customHeight="1" s="21">
      <c r="A13" s="32" t="n">
        <v>12</v>
      </c>
      <c r="B13" s="32" t="inlineStr">
        <is>
          <t>LC76_Engine_Training.html</t>
        </is>
      </c>
      <c r="C13" s="32" t="inlineStr">
        <is>
          <t>R4</t>
        </is>
      </c>
      <c r="D13" s="32" t="inlineStr">
        <is>
          <t>Reference</t>
        </is>
      </c>
      <c r="E13" s="32" t="inlineStr">
        <is>
          <t>A</t>
        </is>
      </c>
      <c r="F13" s="32" t="inlineStr">
        <is>
          <t>In</t>
        </is>
      </c>
      <c r="G13" s="32" t="inlineStr">
        <is>
          <t>Y</t>
        </is>
      </c>
      <c r="H13" s="32" t="inlineStr">
        <is>
          <t>T3 (dedicated)</t>
        </is>
      </c>
      <c r="I13" s="32" t="n">
        <v>200</v>
      </c>
      <c r="J13" s="32" t="n">
        <v>226350</v>
      </c>
      <c r="K13" s="32" t="n"/>
    </row>
    <row r="14" ht="23.25" customHeight="1" s="21">
      <c r="A14" s="32" t="n">
        <v>13</v>
      </c>
      <c r="B14" s="32" t="inlineStr">
        <is>
          <t>LC76_Battery_Training_Guide.html</t>
        </is>
      </c>
      <c r="C14" s="32" t="inlineStr">
        <is>
          <t>R5</t>
        </is>
      </c>
      <c r="D14" s="32" t="inlineStr">
        <is>
          <t>Reference</t>
        </is>
      </c>
      <c r="E14" s="32" t="inlineStr">
        <is>
          <t>A</t>
        </is>
      </c>
      <c r="F14" s="32" t="inlineStr">
        <is>
          <t>Deferred</t>
        </is>
      </c>
      <c r="G14" s="32" t="inlineStr">
        <is>
          <t>N</t>
        </is>
      </c>
      <c r="H14" s="32" t="inlineStr">
        <is>
          <t>— electrical</t>
        </is>
      </c>
      <c r="I14" s="32" t="inlineStr">
        <is>
          <t>not fetched</t>
        </is>
      </c>
      <c r="J14" s="32" t="n"/>
      <c r="K14" s="32" t="n"/>
    </row>
    <row r="15" ht="23.25" customHeight="1" s="21">
      <c r="A15" s="32" t="n">
        <v>14</v>
      </c>
      <c r="B15" s="32" t="inlineStr">
        <is>
          <t>LC76_Battery_Longevity_Report.html</t>
        </is>
      </c>
      <c r="C15" s="32" t="inlineStr">
        <is>
          <t>R6</t>
        </is>
      </c>
      <c r="D15" s="32" t="inlineStr">
        <is>
          <t>Reference</t>
        </is>
      </c>
      <c r="E15" s="32" t="inlineStr">
        <is>
          <t>A</t>
        </is>
      </c>
      <c r="F15" s="32" t="inlineStr">
        <is>
          <t>Deferred</t>
        </is>
      </c>
      <c r="G15" s="32" t="inlineStr">
        <is>
          <t>N</t>
        </is>
      </c>
      <c r="H15" s="32" t="inlineStr">
        <is>
          <t>— electrical</t>
        </is>
      </c>
      <c r="I15" s="32" t="inlineStr">
        <is>
          <t>not fetched</t>
        </is>
      </c>
      <c r="J15" s="32" t="n"/>
      <c r="K15" s="32" t="n"/>
    </row>
    <row r="16" ht="23.25" customHeight="1" s="21">
      <c r="A16" s="32" t="n">
        <v>15</v>
      </c>
      <c r="B16" s="32" t="inlineStr">
        <is>
          <t>LC76_LiFePO4_System_Report.html</t>
        </is>
      </c>
      <c r="C16" s="32" t="inlineStr">
        <is>
          <t>R7</t>
        </is>
      </c>
      <c r="D16" s="32" t="inlineStr">
        <is>
          <t>Reference</t>
        </is>
      </c>
      <c r="E16" s="32" t="inlineStr">
        <is>
          <t>A</t>
        </is>
      </c>
      <c r="F16" s="32" t="inlineStr">
        <is>
          <t>Deferred</t>
        </is>
      </c>
      <c r="G16" s="32" t="inlineStr">
        <is>
          <t>N</t>
        </is>
      </c>
      <c r="H16" s="32" t="inlineStr">
        <is>
          <t>— electrical</t>
        </is>
      </c>
      <c r="I16" s="32" t="inlineStr">
        <is>
          <t>not fetched</t>
        </is>
      </c>
      <c r="J16" s="32" t="n"/>
      <c r="K16" s="32" t="n"/>
    </row>
    <row r="17" ht="15" customHeight="1" s="21">
      <c r="A17" s="32" t="n">
        <v>16</v>
      </c>
      <c r="B17" s="32" t="inlineStr">
        <is>
          <t>LC76_Service_History.html</t>
        </is>
      </c>
      <c r="C17" s="32" t="inlineStr">
        <is>
          <t>R8</t>
        </is>
      </c>
      <c r="D17" s="32" t="inlineStr">
        <is>
          <t>Reference</t>
        </is>
      </c>
      <c r="E17" s="32" t="inlineStr">
        <is>
          <t>A</t>
        </is>
      </c>
      <c r="F17" s="32" t="inlineStr">
        <is>
          <t>In</t>
        </is>
      </c>
      <c r="G17" s="32" t="inlineStr">
        <is>
          <t>Y</t>
        </is>
      </c>
      <c r="H17" s="32" t="inlineStr">
        <is>
          <t>T4 (dedicated, ~146KB)</t>
        </is>
      </c>
      <c r="I17" s="32" t="n">
        <v>200</v>
      </c>
      <c r="J17" s="32" t="n">
        <v>155908</v>
      </c>
      <c r="K17" s="32" t="n"/>
    </row>
    <row r="18" ht="15" customHeight="1" s="21">
      <c r="A18" s="32" t="n">
        <v>17</v>
      </c>
      <c r="B18" s="32" t="inlineStr">
        <is>
          <t>LC76_Service_Checklist.html</t>
        </is>
      </c>
      <c r="C18" s="32" t="inlineStr">
        <is>
          <t>R8s</t>
        </is>
      </c>
      <c r="D18" s="32" t="inlineStr">
        <is>
          <t>Reference</t>
        </is>
      </c>
      <c r="E18" s="32" t="inlineStr">
        <is>
          <t>A</t>
        </is>
      </c>
      <c r="F18" s="32" t="inlineStr">
        <is>
          <t>In</t>
        </is>
      </c>
      <c r="G18" s="32" t="inlineStr">
        <is>
          <t>N</t>
        </is>
      </c>
      <c r="H18" s="32" t="inlineStr">
        <is>
          <t>T4</t>
        </is>
      </c>
      <c r="I18" s="32" t="n">
        <v>200</v>
      </c>
      <c r="J18" s="32" t="n">
        <v>49189</v>
      </c>
      <c r="K18" s="32" t="n"/>
    </row>
    <row r="19" ht="15" customHeight="1" s="21">
      <c r="A19" s="32" t="n">
        <v>18</v>
      </c>
      <c r="B19" s="32" t="inlineStr">
        <is>
          <t>LC76_Vehicle_Recovery_Guide.html</t>
        </is>
      </c>
      <c r="C19" s="32" t="inlineStr">
        <is>
          <t>R9</t>
        </is>
      </c>
      <c r="D19" s="32" t="inlineStr">
        <is>
          <t>Reference</t>
        </is>
      </c>
      <c r="E19" s="32" t="inlineStr">
        <is>
          <t>A</t>
        </is>
      </c>
      <c r="F19" s="32" t="inlineStr">
        <is>
          <t>In</t>
        </is>
      </c>
      <c r="G19" s="32" t="inlineStr">
        <is>
          <t>N</t>
        </is>
      </c>
      <c r="H19" s="32" t="inlineStr">
        <is>
          <t>T2</t>
        </is>
      </c>
      <c r="I19" s="32" t="n">
        <v>200</v>
      </c>
      <c r="J19" s="32" t="n">
        <v>43999</v>
      </c>
      <c r="K19" s="32" t="n"/>
    </row>
    <row r="20" ht="15" customHeight="1" s="21">
      <c r="A20" s="32" t="n">
        <v>19</v>
      </c>
      <c r="B20" s="32" t="inlineStr">
        <is>
          <t>LC76_Emergency_Procedures_Guide.html</t>
        </is>
      </c>
      <c r="C20" s="32" t="inlineStr">
        <is>
          <t>R10</t>
        </is>
      </c>
      <c r="D20" s="32" t="inlineStr">
        <is>
          <t>Reference</t>
        </is>
      </c>
      <c r="E20" s="32" t="inlineStr">
        <is>
          <t>A</t>
        </is>
      </c>
      <c r="F20" s="32" t="inlineStr">
        <is>
          <t>In</t>
        </is>
      </c>
      <c r="G20" s="32" t="inlineStr">
        <is>
          <t>N</t>
        </is>
      </c>
      <c r="H20" s="32" t="inlineStr">
        <is>
          <t>T2</t>
        </is>
      </c>
      <c r="I20" s="32" t="n">
        <v>200</v>
      </c>
      <c r="J20" s="32" t="n">
        <v>67593</v>
      </c>
      <c r="K20" s="32" t="n"/>
    </row>
    <row r="21" ht="15" customHeight="1" s="21">
      <c r="A21" s="32" t="n">
        <v>20</v>
      </c>
      <c r="B21" s="32" t="inlineStr">
        <is>
          <t>LC76_Packing_Optimisation_Guide.html</t>
        </is>
      </c>
      <c r="C21" s="32" t="inlineStr">
        <is>
          <t>R11</t>
        </is>
      </c>
      <c r="D21" s="32" t="inlineStr">
        <is>
          <t>Reference</t>
        </is>
      </c>
      <c r="E21" s="32" t="inlineStr">
        <is>
          <t>A</t>
        </is>
      </c>
      <c r="F21" s="32" t="inlineStr">
        <is>
          <t>In</t>
        </is>
      </c>
      <c r="G21" s="32" t="inlineStr">
        <is>
          <t>N</t>
        </is>
      </c>
      <c r="H21" s="32" t="inlineStr">
        <is>
          <t>T4 (F10-gated)</t>
        </is>
      </c>
      <c r="I21" s="32" t="n">
        <v>200</v>
      </c>
      <c r="J21" s="32" t="n">
        <v>90872</v>
      </c>
      <c r="K21" s="32" t="n"/>
    </row>
    <row r="22" ht="15" customHeight="1" s="21">
      <c r="A22" s="32" t="n">
        <v>21</v>
      </c>
      <c r="B22" s="32" t="inlineStr">
        <is>
          <t>LC76_Water_Management_Guide.html</t>
        </is>
      </c>
      <c r="C22" s="32" t="inlineStr">
        <is>
          <t>R12</t>
        </is>
      </c>
      <c r="D22" s="32" t="inlineStr">
        <is>
          <t>Reference</t>
        </is>
      </c>
      <c r="E22" s="32" t="inlineStr">
        <is>
          <t>A</t>
        </is>
      </c>
      <c r="F22" s="32" t="inlineStr">
        <is>
          <t>In</t>
        </is>
      </c>
      <c r="G22" s="32" t="inlineStr">
        <is>
          <t>N</t>
        </is>
      </c>
      <c r="H22" s="32" t="inlineStr">
        <is>
          <t>T3</t>
        </is>
      </c>
      <c r="I22" s="32" t="n">
        <v>200</v>
      </c>
      <c r="J22" s="32" t="n">
        <v>51883</v>
      </c>
      <c r="K22" s="32" t="n"/>
    </row>
    <row r="23" ht="15" customHeight="1" s="21">
      <c r="A23" s="32" t="n">
        <v>22</v>
      </c>
      <c r="B23" s="32" t="inlineStr">
        <is>
          <t>LC76_Drivetrain_Training_Guide.html</t>
        </is>
      </c>
      <c r="C23" s="32" t="inlineStr">
        <is>
          <t>R13</t>
        </is>
      </c>
      <c r="D23" s="32" t="inlineStr">
        <is>
          <t>Reference</t>
        </is>
      </c>
      <c r="E23" s="32" t="inlineStr">
        <is>
          <t>A</t>
        </is>
      </c>
      <c r="F23" s="32" t="inlineStr">
        <is>
          <t>In</t>
        </is>
      </c>
      <c r="G23" s="32" t="inlineStr">
        <is>
          <t>N</t>
        </is>
      </c>
      <c r="H23" s="32" t="inlineStr">
        <is>
          <t>T3</t>
        </is>
      </c>
      <c r="I23" s="32" t="n">
        <v>200</v>
      </c>
      <c r="J23" s="32" t="n">
        <v>58809</v>
      </c>
      <c r="K23" s="32" t="n"/>
    </row>
    <row r="24" ht="15" customHeight="1" s="21">
      <c r="A24" s="32" t="n">
        <v>23</v>
      </c>
      <c r="B24" s="32" t="inlineStr">
        <is>
          <t>LC76_Tyre_Management_Guide.html</t>
        </is>
      </c>
      <c r="C24" s="32" t="inlineStr">
        <is>
          <t>R14</t>
        </is>
      </c>
      <c r="D24" s="32" t="inlineStr">
        <is>
          <t>Reference</t>
        </is>
      </c>
      <c r="E24" s="32" t="inlineStr">
        <is>
          <t>A</t>
        </is>
      </c>
      <c r="F24" s="32" t="inlineStr">
        <is>
          <t>In</t>
        </is>
      </c>
      <c r="G24" s="32" t="inlineStr">
        <is>
          <t>N</t>
        </is>
      </c>
      <c r="H24" s="32" t="inlineStr">
        <is>
          <t>T3</t>
        </is>
      </c>
      <c r="I24" s="32" t="n">
        <v>200</v>
      </c>
      <c r="J24" s="32" t="n">
        <v>44282</v>
      </c>
      <c r="K24" s="32" t="n"/>
    </row>
    <row r="25" ht="15" customHeight="1" s="21">
      <c r="A25" s="32" t="n">
        <v>24</v>
      </c>
      <c r="B25" s="32" t="inlineStr">
        <is>
          <t>LC76_Border_Crossings_Guide.html</t>
        </is>
      </c>
      <c r="C25" s="32" t="inlineStr">
        <is>
          <t>R15</t>
        </is>
      </c>
      <c r="D25" s="32" t="inlineStr">
        <is>
          <t>Reference</t>
        </is>
      </c>
      <c r="E25" s="32" t="inlineStr">
        <is>
          <t>A</t>
        </is>
      </c>
      <c r="F25" s="32" t="inlineStr">
        <is>
          <t>In</t>
        </is>
      </c>
      <c r="G25" s="32" t="inlineStr">
        <is>
          <t>N</t>
        </is>
      </c>
      <c r="H25" s="32" t="inlineStr">
        <is>
          <t>T6 (currency-light)</t>
        </is>
      </c>
      <c r="I25" s="32" t="n">
        <v>200</v>
      </c>
      <c r="J25" s="32" t="n">
        <v>59126</v>
      </c>
      <c r="K25" s="32" t="n"/>
    </row>
    <row r="26" ht="15" customHeight="1" s="21">
      <c r="A26" s="32" t="n">
        <v>25</v>
      </c>
      <c r="B26" s="32" t="inlineStr">
        <is>
          <t>LC76_Comms_Navigation_Guide.html</t>
        </is>
      </c>
      <c r="C26" s="32" t="inlineStr">
        <is>
          <t>R16</t>
        </is>
      </c>
      <c r="D26" s="32" t="inlineStr">
        <is>
          <t>Reference</t>
        </is>
      </c>
      <c r="E26" s="32" t="inlineStr">
        <is>
          <t>A</t>
        </is>
      </c>
      <c r="F26" s="32" t="inlineStr">
        <is>
          <t>Out-phase</t>
        </is>
      </c>
      <c r="G26" s="32" t="inlineStr">
        <is>
          <t>N</t>
        </is>
      </c>
      <c r="H26" s="32" t="inlineStr">
        <is>
          <t>fast-moving; verified F7</t>
        </is>
      </c>
      <c r="I26" s="32" t="n">
        <v>200</v>
      </c>
      <c r="J26" s="32" t="n">
        <v>50108</v>
      </c>
      <c r="K26" s="32" t="n"/>
    </row>
    <row r="27" ht="15" customHeight="1" s="21">
      <c r="A27" s="32" t="n">
        <v>26</v>
      </c>
      <c r="B27" s="32" t="inlineStr">
        <is>
          <t>LC76_Health_Hygiene_Guide.html</t>
        </is>
      </c>
      <c r="C27" s="32" t="inlineStr">
        <is>
          <t>R17</t>
        </is>
      </c>
      <c r="D27" s="32" t="inlineStr">
        <is>
          <t>Reference</t>
        </is>
      </c>
      <c r="E27" s="32" t="inlineStr">
        <is>
          <t>A</t>
        </is>
      </c>
      <c r="F27" s="32" t="inlineStr">
        <is>
          <t>In</t>
        </is>
      </c>
      <c r="G27" s="32" t="inlineStr">
        <is>
          <t>N</t>
        </is>
      </c>
      <c r="H27" s="32" t="inlineStr">
        <is>
          <t>T2</t>
        </is>
      </c>
      <c r="I27" s="32" t="n">
        <v>200</v>
      </c>
      <c r="J27" s="32" t="n">
        <v>33705</v>
      </c>
      <c r="K27" s="32" t="n"/>
    </row>
    <row r="28" ht="15" customHeight="1" s="21">
      <c r="A28" s="32" t="n">
        <v>27</v>
      </c>
      <c r="B28" s="32" t="inlineStr">
        <is>
          <t>LC76_1HZ_Troubleshooting_Guide.html</t>
        </is>
      </c>
      <c r="C28" s="32" t="inlineStr">
        <is>
          <t>R18</t>
        </is>
      </c>
      <c r="D28" s="32" t="inlineStr">
        <is>
          <t>Reference</t>
        </is>
      </c>
      <c r="E28" s="32" t="inlineStr">
        <is>
          <t>A</t>
        </is>
      </c>
      <c r="F28" s="32" t="inlineStr">
        <is>
          <t>In</t>
        </is>
      </c>
      <c r="G28" s="32" t="inlineStr">
        <is>
          <t>N</t>
        </is>
      </c>
      <c r="H28" s="32" t="inlineStr">
        <is>
          <t>T3</t>
        </is>
      </c>
      <c r="I28" s="32" t="n">
        <v>200</v>
      </c>
      <c r="J28" s="32" t="n">
        <v>93774</v>
      </c>
      <c r="K28" s="32" t="n"/>
    </row>
    <row r="29" ht="15" customHeight="1" s="21">
      <c r="A29" s="32" t="n">
        <v>28</v>
      </c>
      <c r="B29" s="32" t="inlineStr">
        <is>
          <t>LC76_AT_Tyre_Review_R19.html</t>
        </is>
      </c>
      <c r="C29" s="32" t="inlineStr">
        <is>
          <t>R19</t>
        </is>
      </c>
      <c r="D29" s="32" t="inlineStr">
        <is>
          <t>Reference</t>
        </is>
      </c>
      <c r="E29" s="32" t="inlineStr">
        <is>
          <t>A</t>
        </is>
      </c>
      <c r="F29" s="32" t="inlineStr">
        <is>
          <t>In</t>
        </is>
      </c>
      <c r="G29" s="32" t="inlineStr">
        <is>
          <t>N</t>
        </is>
      </c>
      <c r="H29" s="32" t="inlineStr">
        <is>
          <t>T3</t>
        </is>
      </c>
      <c r="I29" s="32" t="n">
        <v>200</v>
      </c>
      <c r="J29" s="32" t="n">
        <v>96694</v>
      </c>
      <c r="K29" s="32" t="n"/>
    </row>
    <row r="30" ht="15" customHeight="1" s="21">
      <c r="A30" s="32" t="n">
        <v>29</v>
      </c>
      <c r="B30" s="32" t="inlineStr">
        <is>
          <t>LC76_Seal_Gasket_Atlas.html</t>
        </is>
      </c>
      <c r="C30" s="32" t="inlineStr">
        <is>
          <t>R20</t>
        </is>
      </c>
      <c r="D30" s="32" t="inlineStr">
        <is>
          <t>Reference</t>
        </is>
      </c>
      <c r="E30" s="32" t="inlineStr">
        <is>
          <t>A</t>
        </is>
      </c>
      <c r="F30" s="32" t="inlineStr">
        <is>
          <t>In</t>
        </is>
      </c>
      <c r="G30" s="32" t="inlineStr">
        <is>
          <t>N</t>
        </is>
      </c>
      <c r="H30" s="32" t="inlineStr">
        <is>
          <t>T3</t>
        </is>
      </c>
      <c r="I30" s="32" t="n">
        <v>200</v>
      </c>
      <c r="J30" s="32" t="n">
        <v>134650</v>
      </c>
      <c r="K30" s="32" t="n"/>
    </row>
    <row r="31" ht="15" customHeight="1" s="21">
      <c r="A31" s="32" t="n">
        <v>30</v>
      </c>
      <c r="B31" s="32" t="inlineStr">
        <is>
          <t>LC76_Turbo_Operations_Guide.html</t>
        </is>
      </c>
      <c r="C31" s="32" t="inlineStr">
        <is>
          <t>R21</t>
        </is>
      </c>
      <c r="D31" s="32" t="inlineStr">
        <is>
          <t>Reference</t>
        </is>
      </c>
      <c r="E31" s="32" t="inlineStr">
        <is>
          <t>A</t>
        </is>
      </c>
      <c r="F31" s="32" t="inlineStr">
        <is>
          <t>In</t>
        </is>
      </c>
      <c r="G31" s="32" t="inlineStr">
        <is>
          <t>N</t>
        </is>
      </c>
      <c r="H31" s="32" t="inlineStr">
        <is>
          <t>T3</t>
        </is>
      </c>
      <c r="I31" s="32" t="n">
        <v>200</v>
      </c>
      <c r="J31" s="32" t="n">
        <v>67341</v>
      </c>
      <c r="K31" s="32" t="n"/>
    </row>
    <row r="32" ht="15" customHeight="1" s="21">
      <c r="A32" s="32" t="n">
        <v>31</v>
      </c>
      <c r="B32" s="32" t="inlineStr">
        <is>
          <t>LC76_Cooling_System_Guide.html</t>
        </is>
      </c>
      <c r="C32" s="32" t="inlineStr">
        <is>
          <t>R22</t>
        </is>
      </c>
      <c r="D32" s="32" t="inlineStr">
        <is>
          <t>Reference</t>
        </is>
      </c>
      <c r="E32" s="32" t="inlineStr">
        <is>
          <t>A</t>
        </is>
      </c>
      <c r="F32" s="32" t="inlineStr">
        <is>
          <t>In</t>
        </is>
      </c>
      <c r="G32" s="32" t="inlineStr">
        <is>
          <t>N</t>
        </is>
      </c>
      <c r="H32" s="32" t="inlineStr">
        <is>
          <t>T3</t>
        </is>
      </c>
      <c r="I32" s="32" t="n">
        <v>200</v>
      </c>
      <c r="J32" s="32" t="n">
        <v>77459</v>
      </c>
      <c r="K32" s="32" t="n"/>
    </row>
    <row r="33" ht="15" customHeight="1" s="21">
      <c r="A33" s="32" t="n">
        <v>32</v>
      </c>
      <c r="B33" s="32" t="inlineStr">
        <is>
          <t>LC76_Pre_Trip_Prep_Protocol.html</t>
        </is>
      </c>
      <c r="C33" s="32" t="inlineStr">
        <is>
          <t>R23</t>
        </is>
      </c>
      <c r="D33" s="32" t="inlineStr">
        <is>
          <t>Reference</t>
        </is>
      </c>
      <c r="E33" s="32" t="inlineStr">
        <is>
          <t>A</t>
        </is>
      </c>
      <c r="F33" s="32" t="inlineStr">
        <is>
          <t>In</t>
        </is>
      </c>
      <c r="G33" s="32" t="inlineStr">
        <is>
          <t>N</t>
        </is>
      </c>
      <c r="H33" s="32" t="inlineStr">
        <is>
          <t>T4</t>
        </is>
      </c>
      <c r="I33" s="32" t="n">
        <v>200</v>
      </c>
      <c r="J33" s="32" t="n">
        <v>89808</v>
      </c>
      <c r="K33" s="32" t="n"/>
    </row>
    <row r="34" ht="15" customHeight="1" s="21">
      <c r="A34" s="32" t="n">
        <v>33</v>
      </c>
      <c r="B34" s="32" t="inlineStr">
        <is>
          <t>LC76_Fuel_System_Guide.html</t>
        </is>
      </c>
      <c r="C34" s="32" t="inlineStr">
        <is>
          <t>R24</t>
        </is>
      </c>
      <c r="D34" s="32" t="inlineStr">
        <is>
          <t>Reference</t>
        </is>
      </c>
      <c r="E34" s="32" t="inlineStr">
        <is>
          <t>A</t>
        </is>
      </c>
      <c r="F34" s="32" t="inlineStr">
        <is>
          <t>In</t>
        </is>
      </c>
      <c r="G34" s="32" t="inlineStr">
        <is>
          <t>N</t>
        </is>
      </c>
      <c r="H34" s="32" t="inlineStr">
        <is>
          <t>T3</t>
        </is>
      </c>
      <c r="I34" s="32" t="n">
        <v>200</v>
      </c>
      <c r="J34" s="32" t="n">
        <v>96449</v>
      </c>
      <c r="K34" s="32" t="n"/>
    </row>
    <row r="35" ht="15" customHeight="1" s="21">
      <c r="A35" s="32" t="n">
        <v>34</v>
      </c>
      <c r="B35" s="32" t="inlineStr">
        <is>
          <t>LC76_Suspension_Steering_Guide.html</t>
        </is>
      </c>
      <c r="C35" s="32" t="inlineStr">
        <is>
          <t>R25</t>
        </is>
      </c>
      <c r="D35" s="32" t="inlineStr">
        <is>
          <t>Reference</t>
        </is>
      </c>
      <c r="E35" s="32" t="inlineStr">
        <is>
          <t>A</t>
        </is>
      </c>
      <c r="F35" s="32" t="inlineStr">
        <is>
          <t>In</t>
        </is>
      </c>
      <c r="G35" s="32" t="inlineStr">
        <is>
          <t>N</t>
        </is>
      </c>
      <c r="H35" s="32" t="inlineStr">
        <is>
          <t>T3</t>
        </is>
      </c>
      <c r="I35" s="32" t="n">
        <v>200</v>
      </c>
      <c r="J35" s="32" t="n">
        <v>107274</v>
      </c>
      <c r="K35" s="32" t="n"/>
    </row>
    <row r="36" ht="23.25" customHeight="1" s="21">
      <c r="A36" s="32" t="n">
        <v>35</v>
      </c>
      <c r="B36" s="32" t="inlineStr">
        <is>
          <t>LC76_Electrical_Wiring_Guide.html</t>
        </is>
      </c>
      <c r="C36" s="32" t="inlineStr">
        <is>
          <t>R26</t>
        </is>
      </c>
      <c r="D36" s="32" t="inlineStr">
        <is>
          <t>Reference</t>
        </is>
      </c>
      <c r="E36" s="32" t="inlineStr">
        <is>
          <t>A</t>
        </is>
      </c>
      <c r="F36" s="32" t="inlineStr">
        <is>
          <t>Deferred</t>
        </is>
      </c>
      <c r="G36" s="32" t="inlineStr">
        <is>
          <t>N</t>
        </is>
      </c>
      <c r="H36" s="32" t="inlineStr">
        <is>
          <t>— electrical (interim)</t>
        </is>
      </c>
      <c r="I36" s="32" t="inlineStr">
        <is>
          <t>not fetched</t>
        </is>
      </c>
      <c r="J36" s="32" t="n"/>
      <c r="K36" s="32" t="n"/>
    </row>
    <row r="37" ht="15" customHeight="1" s="21">
      <c r="A37" s="32" t="n">
        <v>36</v>
      </c>
      <c r="B37" s="32" t="inlineStr">
        <is>
          <t>LC76_Bush_Mechanics_Guide.html</t>
        </is>
      </c>
      <c r="C37" s="32" t="inlineStr">
        <is>
          <t>R27</t>
        </is>
      </c>
      <c r="D37" s="32" t="inlineStr">
        <is>
          <t>Reference</t>
        </is>
      </c>
      <c r="E37" s="32" t="inlineStr">
        <is>
          <t>A</t>
        </is>
      </c>
      <c r="F37" s="32" t="inlineStr">
        <is>
          <t>In</t>
        </is>
      </c>
      <c r="G37" s="32" t="inlineStr">
        <is>
          <t>N</t>
        </is>
      </c>
      <c r="H37" s="32" t="inlineStr">
        <is>
          <t>T3</t>
        </is>
      </c>
      <c r="I37" s="32" t="n">
        <v>200</v>
      </c>
      <c r="J37" s="32" t="n">
        <v>129931</v>
      </c>
      <c r="K37" s="32" t="n"/>
    </row>
    <row r="38" ht="15" customHeight="1" s="21">
      <c r="A38" s="32" t="n">
        <v>37</v>
      </c>
      <c r="B38" s="32" t="inlineStr">
        <is>
          <t>LC76_Driving_Conditions_Guide.html</t>
        </is>
      </c>
      <c r="C38" s="32" t="inlineStr">
        <is>
          <t>R28</t>
        </is>
      </c>
      <c r="D38" s="32" t="inlineStr">
        <is>
          <t>Reference</t>
        </is>
      </c>
      <c r="E38" s="32" t="inlineStr">
        <is>
          <t>A</t>
        </is>
      </c>
      <c r="F38" s="32" t="inlineStr">
        <is>
          <t>In</t>
        </is>
      </c>
      <c r="G38" s="32" t="inlineStr">
        <is>
          <t>N</t>
        </is>
      </c>
      <c r="H38" s="32" t="inlineStr">
        <is>
          <t>T4</t>
        </is>
      </c>
      <c r="I38" s="32" t="n">
        <v>200</v>
      </c>
      <c r="J38" s="32" t="n">
        <v>104035</v>
      </c>
      <c r="K38" s="32" t="n"/>
    </row>
    <row r="39" ht="15" customHeight="1" s="21">
      <c r="A39" s="32" t="n">
        <v>38</v>
      </c>
      <c r="B39" s="32" t="inlineStr">
        <is>
          <t>LC76_Insurance_Medevac.html</t>
        </is>
      </c>
      <c r="C39" s="32" t="inlineStr">
        <is>
          <t>R29</t>
        </is>
      </c>
      <c r="D39" s="32" t="inlineStr">
        <is>
          <t>Reference</t>
        </is>
      </c>
      <c r="E39" s="32" t="inlineStr">
        <is>
          <t>A</t>
        </is>
      </c>
      <c r="F39" s="32" t="inlineStr">
        <is>
          <t>In</t>
        </is>
      </c>
      <c r="G39" s="32" t="inlineStr">
        <is>
          <t>N</t>
        </is>
      </c>
      <c r="H39" s="32" t="inlineStr">
        <is>
          <t>T6 (currency-light)</t>
        </is>
      </c>
      <c r="I39" s="32" t="n">
        <v>200</v>
      </c>
      <c r="J39" s="32" t="n">
        <v>113714</v>
      </c>
      <c r="K39" s="32" t="n"/>
    </row>
    <row r="40" ht="15" customHeight="1" s="21">
      <c r="A40" s="32" t="n">
        <v>39</v>
      </c>
      <c r="B40" s="32" t="inlineStr">
        <is>
          <t>LC76_Cross_Reference_Index.html</t>
        </is>
      </c>
      <c r="C40" s="32" t="inlineStr">
        <is>
          <t>R30</t>
        </is>
      </c>
      <c r="D40" s="32" t="inlineStr">
        <is>
          <t>Reference</t>
        </is>
      </c>
      <c r="E40" s="32" t="inlineStr">
        <is>
          <t>A</t>
        </is>
      </c>
      <c r="F40" s="32" t="inlineStr">
        <is>
          <t>In</t>
        </is>
      </c>
      <c r="G40" s="32" t="inlineStr">
        <is>
          <t>N</t>
        </is>
      </c>
      <c r="H40" s="32" t="inlineStr">
        <is>
          <t>T6 (link-integrity)</t>
        </is>
      </c>
      <c r="I40" s="32" t="n">
        <v>200</v>
      </c>
      <c r="J40" s="32" t="n">
        <v>93274</v>
      </c>
      <c r="K40" s="32" t="n"/>
    </row>
    <row r="41" ht="15" customHeight="1" s="21">
      <c r="A41" s="32" t="n">
        <v>40</v>
      </c>
      <c r="B41" s="32" t="inlineStr">
        <is>
          <t>LC76_Upgrade_Assessment.html</t>
        </is>
      </c>
      <c r="C41" s="32" t="inlineStr">
        <is>
          <t>R31</t>
        </is>
      </c>
      <c r="D41" s="32" t="inlineStr">
        <is>
          <t>Reference</t>
        </is>
      </c>
      <c r="E41" s="32" t="inlineStr">
        <is>
          <t>A</t>
        </is>
      </c>
      <c r="F41" s="32" t="inlineStr">
        <is>
          <t>In</t>
        </is>
      </c>
      <c r="G41" s="32" t="inlineStr">
        <is>
          <t>N</t>
        </is>
      </c>
      <c r="H41" s="32" t="inlineStr">
        <is>
          <t>T4</t>
        </is>
      </c>
      <c r="I41" s="32" t="n">
        <v>200</v>
      </c>
      <c r="J41" s="32" t="n">
        <v>45572</v>
      </c>
      <c r="K41" s="32" t="n"/>
    </row>
    <row r="42" ht="23.25" customHeight="1" s="21">
      <c r="A42" s="32" t="n">
        <v>41</v>
      </c>
      <c r="B42" s="32" t="inlineStr">
        <is>
          <t>LC76_Crank_Battery_Care.html</t>
        </is>
      </c>
      <c r="C42" s="32" t="inlineStr">
        <is>
          <t>R32</t>
        </is>
      </c>
      <c r="D42" s="32" t="inlineStr">
        <is>
          <t>Reference</t>
        </is>
      </c>
      <c r="E42" s="32" t="inlineStr">
        <is>
          <t>A</t>
        </is>
      </c>
      <c r="F42" s="32" t="inlineStr">
        <is>
          <t>Deferred</t>
        </is>
      </c>
      <c r="G42" s="32" t="inlineStr">
        <is>
          <t>N</t>
        </is>
      </c>
      <c r="H42" s="32" t="inlineStr">
        <is>
          <t>— electrical</t>
        </is>
      </c>
      <c r="I42" s="32" t="inlineStr">
        <is>
          <t>not fetched</t>
        </is>
      </c>
      <c r="J42" s="32" t="n"/>
      <c r="K42" s="32" t="n"/>
    </row>
    <row r="43" ht="23.25" customHeight="1" s="21">
      <c r="A43" s="32" t="n">
        <v>42</v>
      </c>
      <c r="B43" s="32" t="inlineStr">
        <is>
          <t>LC76_Aux_Battery_Care.html</t>
        </is>
      </c>
      <c r="C43" s="32" t="inlineStr">
        <is>
          <t>R33</t>
        </is>
      </c>
      <c r="D43" s="32" t="inlineStr">
        <is>
          <t>Reference</t>
        </is>
      </c>
      <c r="E43" s="32" t="inlineStr">
        <is>
          <t>A</t>
        </is>
      </c>
      <c r="F43" s="32" t="inlineStr">
        <is>
          <t>Deferred</t>
        </is>
      </c>
      <c r="G43" s="32" t="inlineStr">
        <is>
          <t>N</t>
        </is>
      </c>
      <c r="H43" s="32" t="inlineStr">
        <is>
          <t>— electrical</t>
        </is>
      </c>
      <c r="I43" s="32" t="inlineStr">
        <is>
          <t>not fetched</t>
        </is>
      </c>
      <c r="J43" s="32" t="n"/>
      <c r="K43" s="32" t="n"/>
    </row>
    <row r="44" ht="15" customHeight="1" s="21">
      <c r="A44" s="32" t="n">
        <v>43</v>
      </c>
      <c r="B44" s="32" t="inlineStr">
        <is>
          <t>LC76_Brake_System_Guide.html</t>
        </is>
      </c>
      <c r="C44" s="32" t="inlineStr">
        <is>
          <t>R34</t>
        </is>
      </c>
      <c r="D44" s="32" t="inlineStr">
        <is>
          <t>Reference</t>
        </is>
      </c>
      <c r="E44" s="32" t="inlineStr">
        <is>
          <t>A</t>
        </is>
      </c>
      <c r="F44" s="32" t="inlineStr">
        <is>
          <t>In</t>
        </is>
      </c>
      <c r="G44" s="32" t="inlineStr">
        <is>
          <t>N</t>
        </is>
      </c>
      <c r="H44" s="32" t="inlineStr">
        <is>
          <t>T2</t>
        </is>
      </c>
      <c r="I44" s="32" t="n">
        <v>200</v>
      </c>
      <c r="J44" s="32" t="n">
        <v>36775</v>
      </c>
      <c r="K44" s="32" t="n"/>
    </row>
    <row r="45" ht="15" customHeight="1" s="21">
      <c r="A45" s="32" t="n">
        <v>44</v>
      </c>
      <c r="B45" s="32" t="inlineStr">
        <is>
          <t>LC76_Security_Fire_Guide.html</t>
        </is>
      </c>
      <c r="C45" s="32" t="inlineStr">
        <is>
          <t>R35</t>
        </is>
      </c>
      <c r="D45" s="32" t="inlineStr">
        <is>
          <t>Reference</t>
        </is>
      </c>
      <c r="E45" s="32" t="inlineStr">
        <is>
          <t>A</t>
        </is>
      </c>
      <c r="F45" s="32" t="inlineStr">
        <is>
          <t>In</t>
        </is>
      </c>
      <c r="G45" s="32" t="inlineStr">
        <is>
          <t>N</t>
        </is>
      </c>
      <c r="H45" s="32" t="inlineStr">
        <is>
          <t>T2</t>
        </is>
      </c>
      <c r="I45" s="32" t="n">
        <v>200</v>
      </c>
      <c r="J45" s="32" t="n">
        <v>36849</v>
      </c>
      <c r="K45" s="32" t="n"/>
    </row>
    <row r="46" ht="15" customHeight="1" s="21">
      <c r="A46" s="32" t="n">
        <v>45</v>
      </c>
      <c r="B46" s="32" t="inlineStr">
        <is>
          <t>LC76_Wildlife_Camp_Safety_Guide.html</t>
        </is>
      </c>
      <c r="C46" s="32" t="inlineStr">
        <is>
          <t>R36</t>
        </is>
      </c>
      <c r="D46" s="32" t="inlineStr">
        <is>
          <t>Reference</t>
        </is>
      </c>
      <c r="E46" s="32" t="inlineStr">
        <is>
          <t>A</t>
        </is>
      </c>
      <c r="F46" s="32" t="inlineStr">
        <is>
          <t>In</t>
        </is>
      </c>
      <c r="G46" s="32" t="inlineStr">
        <is>
          <t>N</t>
        </is>
      </c>
      <c r="H46" s="32" t="inlineStr">
        <is>
          <t>T2</t>
        </is>
      </c>
      <c r="I46" s="32" t="n">
        <v>200</v>
      </c>
      <c r="J46" s="32" t="n">
        <v>40669</v>
      </c>
      <c r="K46" s="32" t="n"/>
    </row>
    <row r="47" ht="15" customHeight="1" s="21">
      <c r="A47" s="32" t="n">
        <v>46</v>
      </c>
      <c r="B47" s="32" t="inlineStr">
        <is>
          <t>Angola_Overland_Profile_2026-04.html</t>
        </is>
      </c>
      <c r="C47" s="32" t="inlineStr">
        <is>
          <t>P001</t>
        </is>
      </c>
      <c r="D47" s="32" t="inlineStr">
        <is>
          <t>Profile</t>
        </is>
      </c>
      <c r="E47" s="32" t="inlineStr">
        <is>
          <t>Profile</t>
        </is>
      </c>
      <c r="F47" s="32" t="inlineStr">
        <is>
          <t>In</t>
        </is>
      </c>
      <c r="G47" s="32" t="inlineStr">
        <is>
          <t>N</t>
        </is>
      </c>
      <c r="H47" s="32" t="inlineStr">
        <is>
          <t>T7 (non-currency only)</t>
        </is>
      </c>
      <c r="I47" s="32" t="n">
        <v>200</v>
      </c>
      <c r="J47" s="32" t="n">
        <v>122166</v>
      </c>
      <c r="K47" s="32" t="n"/>
    </row>
    <row r="48" ht="15" customHeight="1" s="21">
      <c r="A48" s="32" t="n">
        <v>47</v>
      </c>
      <c r="B48" s="32" t="inlineStr">
        <is>
          <t>Namibia_Overland_Profile_2026-04.html</t>
        </is>
      </c>
      <c r="C48" s="32" t="inlineStr">
        <is>
          <t>P002</t>
        </is>
      </c>
      <c r="D48" s="32" t="inlineStr">
        <is>
          <t>Profile</t>
        </is>
      </c>
      <c r="E48" s="32" t="inlineStr">
        <is>
          <t>Profile</t>
        </is>
      </c>
      <c r="F48" s="32" t="inlineStr">
        <is>
          <t>In</t>
        </is>
      </c>
      <c r="G48" s="32" t="inlineStr">
        <is>
          <t>N</t>
        </is>
      </c>
      <c r="H48" s="32" t="inlineStr">
        <is>
          <t>T7 (non-currency only)</t>
        </is>
      </c>
      <c r="I48" s="32" t="n">
        <v>200</v>
      </c>
      <c r="J48" s="32" t="n">
        <v>167831</v>
      </c>
      <c r="K48" s="32" t="n"/>
    </row>
    <row r="49" ht="15" customHeight="1" s="21">
      <c r="A49" s="32" t="n">
        <v>48</v>
      </c>
      <c r="B49" s="32" t="inlineStr">
        <is>
          <t>Botswana_Overland_Profile_2026-04.html</t>
        </is>
      </c>
      <c r="C49" s="32" t="inlineStr">
        <is>
          <t>P003</t>
        </is>
      </c>
      <c r="D49" s="32" t="inlineStr">
        <is>
          <t>Profile</t>
        </is>
      </c>
      <c r="E49" s="32" t="inlineStr">
        <is>
          <t>Profile</t>
        </is>
      </c>
      <c r="F49" s="32" t="inlineStr">
        <is>
          <t>In</t>
        </is>
      </c>
      <c r="G49" s="32" t="inlineStr">
        <is>
          <t>N</t>
        </is>
      </c>
      <c r="H49" s="32" t="inlineStr">
        <is>
          <t>T7 (non-currency only)</t>
        </is>
      </c>
      <c r="I49" s="32" t="n">
        <v>200</v>
      </c>
      <c r="J49" s="32" t="n">
        <v>130892</v>
      </c>
      <c r="K49" s="32" t="n"/>
    </row>
    <row r="50" ht="15" customHeight="1" s="21">
      <c r="A50" s="32" t="n">
        <v>49</v>
      </c>
      <c r="B50" s="32" t="inlineStr">
        <is>
          <t>Zambia_Overland_Profile_2026-04.html</t>
        </is>
      </c>
      <c r="C50" s="32" t="inlineStr">
        <is>
          <t>P004</t>
        </is>
      </c>
      <c r="D50" s="32" t="inlineStr">
        <is>
          <t>Profile</t>
        </is>
      </c>
      <c r="E50" s="32" t="inlineStr">
        <is>
          <t>Profile</t>
        </is>
      </c>
      <c r="F50" s="32" t="inlineStr">
        <is>
          <t>In</t>
        </is>
      </c>
      <c r="G50" s="32" t="inlineStr">
        <is>
          <t>N</t>
        </is>
      </c>
      <c r="H50" s="32" t="inlineStr">
        <is>
          <t>T7 (non-currency only)</t>
        </is>
      </c>
      <c r="I50" s="32" t="n">
        <v>200</v>
      </c>
      <c r="J50" s="32" t="n">
        <v>135763</v>
      </c>
      <c r="K50" s="32" t="n"/>
    </row>
    <row r="51" ht="15" customHeight="1" s="21">
      <c r="A51" s="32" t="n">
        <v>50</v>
      </c>
      <c r="B51" s="32" t="inlineStr">
        <is>
          <t>LC76_Kalahari_Profile_2026-04.html</t>
        </is>
      </c>
      <c r="C51" s="32" t="inlineStr">
        <is>
          <t>P005</t>
        </is>
      </c>
      <c r="D51" s="32" t="inlineStr">
        <is>
          <t>Profile</t>
        </is>
      </c>
      <c r="E51" s="32" t="inlineStr">
        <is>
          <t>Profile</t>
        </is>
      </c>
      <c r="F51" s="32" t="inlineStr">
        <is>
          <t>In</t>
        </is>
      </c>
      <c r="G51" s="32" t="inlineStr">
        <is>
          <t>N</t>
        </is>
      </c>
      <c r="H51" s="32" t="inlineStr">
        <is>
          <t>T7 (non-currency only)</t>
        </is>
      </c>
      <c r="I51" s="32" t="n">
        <v>200</v>
      </c>
      <c r="J51" s="32" t="n">
        <v>160662</v>
      </c>
      <c r="K51" s="32" t="n"/>
    </row>
    <row r="52" ht="15" customHeight="1" s="21">
      <c r="A52" s="32" t="n">
        <v>51</v>
      </c>
      <c r="B52" s="32" t="inlineStr">
        <is>
          <t>Tanzania_Overland_Profile_2026-05.html</t>
        </is>
      </c>
      <c r="C52" s="32" t="inlineStr">
        <is>
          <t>P006</t>
        </is>
      </c>
      <c r="D52" s="32" t="inlineStr">
        <is>
          <t>Profile</t>
        </is>
      </c>
      <c r="E52" s="32" t="inlineStr">
        <is>
          <t>Profile</t>
        </is>
      </c>
      <c r="F52" s="32" t="inlineStr">
        <is>
          <t>In</t>
        </is>
      </c>
      <c r="G52" s="32" t="inlineStr">
        <is>
          <t>N</t>
        </is>
      </c>
      <c r="H52" s="32" t="inlineStr">
        <is>
          <t>T7 (non-currency only)</t>
        </is>
      </c>
      <c r="I52" s="32" t="n">
        <v>200</v>
      </c>
      <c r="J52" s="32" t="n">
        <v>113098</v>
      </c>
      <c r="K52" s="32" t="n"/>
    </row>
    <row r="53" ht="15" customHeight="1" s="21">
      <c r="A53" s="32" t="n">
        <v>52</v>
      </c>
      <c r="B53" s="32" t="inlineStr">
        <is>
          <t>LC76_Karoo_Winter_Loop_2026.html</t>
        </is>
      </c>
      <c r="C53" s="32" t="n"/>
      <c r="D53" s="32" t="inlineStr">
        <is>
          <t>Itinerary</t>
        </is>
      </c>
      <c r="E53" s="32" t="inlineStr">
        <is>
          <t>Profile</t>
        </is>
      </c>
      <c r="F53" s="32" t="inlineStr">
        <is>
          <t>In</t>
        </is>
      </c>
      <c r="G53" s="32" t="inlineStr">
        <is>
          <t>N</t>
        </is>
      </c>
      <c r="H53" s="32" t="inlineStr">
        <is>
          <t>T7 (non-currency only)</t>
        </is>
      </c>
      <c r="I53" s="32" t="n">
        <v>200</v>
      </c>
      <c r="J53" s="32" t="n">
        <v>60135</v>
      </c>
      <c r="K53" s="32" t="n"/>
    </row>
    <row r="54" ht="15" customHeight="1" s="21">
      <c r="A54" s="32" t="n">
        <v>53</v>
      </c>
      <c r="B54" s="32" t="inlineStr">
        <is>
          <t>index.html</t>
        </is>
      </c>
      <c r="C54" s="32" t="n"/>
      <c r="D54" s="32" t="inlineStr">
        <is>
          <t>Standard</t>
        </is>
      </c>
      <c r="E54" s="32" t="inlineStr">
        <is>
          <t>A</t>
        </is>
      </c>
      <c r="F54" s="32" t="inlineStr">
        <is>
          <t>Standard</t>
        </is>
      </c>
      <c r="G54" s="32" t="inlineStr">
        <is>
          <t>N</t>
        </is>
      </c>
      <c r="H54" s="32" t="inlineStr">
        <is>
          <t>T0 (propagation target)</t>
        </is>
      </c>
      <c r="I54" s="32" t="n">
        <v>200</v>
      </c>
      <c r="J54" s="32" t="n">
        <v>34867</v>
      </c>
      <c r="K54" s="32" t="n"/>
    </row>
    <row r="55" ht="15" customHeight="1" s="21">
      <c r="A55" s="32" t="n">
        <v>54</v>
      </c>
      <c r="B55" s="32" t="inlineStr">
        <is>
          <t>LC76_Design_Guidelines.html</t>
        </is>
      </c>
      <c r="C55" s="32" t="n"/>
      <c r="D55" s="32" t="inlineStr">
        <is>
          <t>Standard</t>
        </is>
      </c>
      <c r="E55" s="32" t="inlineStr">
        <is>
          <t>A</t>
        </is>
      </c>
      <c r="F55" s="32" t="inlineStr">
        <is>
          <t>Standard</t>
        </is>
      </c>
      <c r="G55" s="32" t="inlineStr">
        <is>
          <t>N</t>
        </is>
      </c>
      <c r="H55" s="32" t="inlineStr">
        <is>
          <t>T0 (yardstick — F13)</t>
        </is>
      </c>
      <c r="I55" s="32" t="n">
        <v>200</v>
      </c>
      <c r="J55" s="32" t="n">
        <v>52776</v>
      </c>
      <c r="K55" s="32" t="n"/>
    </row>
    <row r="56" ht="15" customHeight="1" s="21">
      <c r="A56" s="32" t="n">
        <v>55</v>
      </c>
      <c r="B56" s="32" t="inlineStr">
        <is>
          <t>LC76_Profile_TEMPLATE.html</t>
        </is>
      </c>
      <c r="C56" s="32" t="n"/>
      <c r="D56" s="32" t="inlineStr">
        <is>
          <t>Profile</t>
        </is>
      </c>
      <c r="E56" s="32" t="inlineStr">
        <is>
          <t>Profile</t>
        </is>
      </c>
      <c r="F56" s="32" t="inlineStr">
        <is>
          <t>Standard</t>
        </is>
      </c>
      <c r="G56" s="32" t="inlineStr">
        <is>
          <t>N</t>
        </is>
      </c>
      <c r="H56" s="32" t="inlineStr">
        <is>
          <t>T0 (now 200 — F17 closed)</t>
        </is>
      </c>
      <c r="I56" s="32" t="n">
        <v>200</v>
      </c>
      <c r="J56" s="32" t="n">
        <v>40071</v>
      </c>
      <c r="K56" s="3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5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0" min="1" max="1"/>
    <col width="34" customWidth="1" style="20" min="2" max="2"/>
    <col width="13" customWidth="1" style="20" min="3" max="3"/>
    <col width="72" customWidth="1" style="20" min="4" max="4"/>
    <col width="9" customWidth="1" style="20" min="5" max="5"/>
  </cols>
  <sheetData>
    <row r="1" ht="15" customHeight="1" s="21">
      <c r="A1" s="31" t="inlineStr">
        <is>
          <t>Shared fact</t>
        </is>
      </c>
      <c r="B1" s="31" t="inlineStr">
        <is>
          <t>Canonical value (Facts.txt)</t>
        </is>
      </c>
      <c r="C1" s="31" t="inlineStr">
        <is>
          <t>Status</t>
        </is>
      </c>
      <c r="D1" s="31" t="inlineStr">
        <is>
          <t>Notes / divergent files</t>
        </is>
      </c>
      <c r="E1" s="31" t="inlineStr">
        <is>
          <t>Finding</t>
        </is>
      </c>
    </row>
    <row r="2" ht="23.25" customHeight="1" s="21">
      <c r="A2" s="32" t="inlineStr">
        <is>
          <t>Current odometer</t>
        </is>
      </c>
      <c r="B2" s="32" t="inlineStr">
        <is>
          <t>310,000 km (read Jun 2026)</t>
        </is>
      </c>
      <c r="C2" s="33" t="inlineStr">
        <is>
          <t>Consistent</t>
        </is>
      </c>
      <c r="D2" s="32" t="inlineStr">
        <is>
          <t>Propagated correctly across 11 docs (R11,R18,R19,R20,R23,R27,R28,R34,Checklist,index). EXCEPTION: R8 — see TA-004.  R25 carries a stale 307,000 base for front-shock age → TA-006 (T3).</t>
        </is>
      </c>
      <c r="E2" s="32" t="inlineStr">
        <is>
          <t>TA-004</t>
        </is>
      </c>
    </row>
    <row r="3" ht="15" customHeight="1" s="21">
      <c r="A3" s="32" t="inlineStr">
        <is>
          <t>GVM</t>
        </is>
      </c>
      <c r="B3" s="32" t="inlineStr">
        <is>
          <t>2,850 kg</t>
        </is>
      </c>
      <c r="C3" s="33" t="inlineStr">
        <is>
          <t>Consistent</t>
        </is>
      </c>
      <c r="D3" s="32" t="inlineStr">
        <is>
          <t>Cited in 23 files; uniform.</t>
        </is>
      </c>
      <c r="E3" s="32" t="n"/>
    </row>
    <row r="4" ht="23.25" customHeight="1" s="21">
      <c r="A4" s="32" t="inlineStr">
        <is>
          <t>Kerb weight</t>
        </is>
      </c>
      <c r="B4" s="32" t="inlineStr">
        <is>
          <t>PROVISIONAL ~2,160 / ~2,299 kg</t>
        </is>
      </c>
      <c r="C4" s="34" t="inlineStr">
        <is>
          <t>DIVERGENT</t>
        </is>
      </c>
      <c r="D4" s="32" t="inlineStr">
        <is>
          <t>Most docs ~2,299; spec-summary line still carries ~2,160. (2,160 'floor-jack rating' is a separate tool spec — false positive, excluded.)</t>
        </is>
      </c>
      <c r="E4" s="32" t="inlineStr">
        <is>
          <t>TA-002</t>
        </is>
      </c>
    </row>
    <row r="5" ht="23.25" customHeight="1" s="21">
      <c r="A5" s="32" t="inlineStr">
        <is>
          <t>Payload</t>
        </is>
      </c>
      <c r="B5" s="32" t="inlineStr">
        <is>
          <t>PROVISIONAL ~551 / ~690 kg</t>
        </is>
      </c>
      <c r="C5" s="34" t="inlineStr">
        <is>
          <t>DIVERGENT</t>
        </is>
      </c>
      <c r="D5" s="32" t="inlineStr">
        <is>
          <t>~551 kg dominant (9×). Provisional; R11 correctly uses weighbridge/estimate language and an '~50 kg over GVM' claim sensitive to kerb choice.</t>
        </is>
      </c>
      <c r="E5" s="32" t="inlineStr">
        <is>
          <t>TA-002</t>
        </is>
      </c>
    </row>
    <row r="6" ht="15" customHeight="1" s="21">
      <c r="A6" s="32" t="inlineStr">
        <is>
          <t>Tyre — current</t>
        </is>
      </c>
      <c r="B6" s="32" t="inlineStr">
        <is>
          <t>265/70R16 (Maxxis AT811)</t>
        </is>
      </c>
      <c r="C6" s="33" t="inlineStr">
        <is>
          <t>Consistent</t>
        </is>
      </c>
      <c r="D6" s="32" t="inlineStr">
        <is>
          <t>R14 table correctly labels current.</t>
        </is>
      </c>
      <c r="E6" s="32" t="n"/>
    </row>
    <row r="7" ht="15" customHeight="1" s="21">
      <c r="A7" s="32" t="inlineStr">
        <is>
          <t>Tyre — planned next set</t>
        </is>
      </c>
      <c r="B7" s="32" t="inlineStr">
        <is>
          <t>265/75R16</t>
        </is>
      </c>
      <c r="C7" s="33" t="inlineStr">
        <is>
          <t>Consistent</t>
        </is>
      </c>
      <c r="D7" s="32" t="inlineStr">
        <is>
          <t>62× — high count expected (R19 is a review OF this size; calculator tables).</t>
        </is>
      </c>
      <c r="E7" s="32" t="n"/>
    </row>
    <row r="8" ht="23.25" customHeight="1" s="21">
      <c r="A8" s="32" t="inlineStr">
        <is>
          <t>Tyre — declined option</t>
        </is>
      </c>
      <c r="B8" s="32" t="inlineStr">
        <is>
          <t>235/85R16</t>
        </is>
      </c>
      <c r="C8" s="33" t="inlineStr">
        <is>
          <t>Consistent</t>
        </is>
      </c>
      <c r="D8" s="32" t="inlineStr">
        <is>
          <t>All 5 hits in R14, framed '✗ Declined' (AT811 unavailable in size). Correct content — not an error.</t>
        </is>
      </c>
      <c r="E8" s="32" t="n"/>
    </row>
    <row r="9" ht="15" customHeight="1" s="21">
      <c r="A9" s="32" t="inlineStr">
        <is>
          <t>Tyre — under assessment</t>
        </is>
      </c>
      <c r="B9" s="32" t="inlineStr">
        <is>
          <t>285/75R16</t>
        </is>
      </c>
      <c r="C9" s="33" t="inlineStr">
        <is>
          <t>Consistent</t>
        </is>
      </c>
      <c r="D9" s="32" t="inlineStr">
        <is>
          <t>25×; framed pending Snyman clearance.</t>
        </is>
      </c>
      <c r="E9" s="32" t="n"/>
    </row>
    <row r="10" ht="15" customHeight="1" s="21">
      <c r="A10" s="32" t="inlineStr">
        <is>
          <t>Fuel capacity</t>
        </is>
      </c>
      <c r="B10" s="32" t="inlineStr">
        <is>
          <t>145 L main + 40 L = ~185 L</t>
        </is>
      </c>
      <c r="C10" s="33" t="inlineStr">
        <is>
          <t>Consistent</t>
        </is>
      </c>
      <c r="D10" s="32" t="inlineStr">
        <is>
          <t>Uniform where cited.</t>
        </is>
      </c>
      <c r="E10" s="32" t="n"/>
    </row>
    <row r="11" ht="15" customHeight="1" s="21">
      <c r="A11" s="32" t="inlineStr">
        <is>
          <t>Turbo recon (event)</t>
        </is>
      </c>
      <c r="B11" s="32" t="inlineStr">
        <is>
          <t>Aug 2023 @ 224,406 km</t>
        </is>
      </c>
      <c r="C11" s="33" t="inlineStr">
        <is>
          <t>Consistent</t>
        </is>
      </c>
      <c r="D11" s="32" t="inlineStr">
        <is>
          <t>7 files; event mileage uniform (must not change).</t>
        </is>
      </c>
      <c r="E11" s="32" t="n"/>
    </row>
    <row r="12" ht="23.25" customHeight="1" s="21">
      <c r="A12" s="32" t="inlineStr">
        <is>
          <t>Km on turbo (DERIVED)</t>
        </is>
      </c>
      <c r="B12" s="32" t="inlineStr">
        <is>
          <t>85,594 km (=310,000−224,406)</t>
        </is>
      </c>
      <c r="C12" s="34" t="inlineStr">
        <is>
          <t>DIVERGENT</t>
        </is>
      </c>
      <c r="D12" s="32" t="inlineStr">
        <is>
          <t>Service Checklist re-keyed to 85,594 (TA-003). R8 deferred T4. NOTE: R25's '~86,000' was front-shocks (N181), not turbo → re-filed TA-006.</t>
        </is>
      </c>
      <c r="E12" s="32" t="inlineStr">
        <is>
          <t>TA-003/006</t>
        </is>
      </c>
    </row>
    <row r="13" ht="15" customHeight="1" s="21">
      <c r="A13" s="32" t="inlineStr">
        <is>
          <t>Engine</t>
        </is>
      </c>
      <c r="B13" s="32" t="inlineStr">
        <is>
          <t>1HZ 4.2L inline-6 diesel</t>
        </is>
      </c>
      <c r="C13" s="33" t="inlineStr">
        <is>
          <t>Consistent</t>
        </is>
      </c>
      <c r="D13" s="32" t="inlineStr">
        <is>
          <t>Uniform.</t>
        </is>
      </c>
      <c r="E13" s="32" t="n"/>
    </row>
    <row r="14" ht="15" customHeight="1" s="21">
      <c r="A14" s="32" t="inlineStr">
        <is>
          <t>Transmission</t>
        </is>
      </c>
      <c r="B14" s="32" t="inlineStr">
        <is>
          <t>R151F 5-speed</t>
        </is>
      </c>
      <c r="C14" s="33" t="inlineStr">
        <is>
          <t>Consistent</t>
        </is>
      </c>
      <c r="D14" s="32" t="inlineStr">
        <is>
          <t>Uniform.</t>
        </is>
      </c>
      <c r="E14" s="32" t="n"/>
    </row>
    <row r="15" ht="15" customHeight="1" s="21">
      <c r="A15" s="32" t="inlineStr">
        <is>
          <t>Suspension — rear</t>
        </is>
      </c>
      <c r="B15" s="32" t="inlineStr">
        <is>
          <t>OME CS058R leaves + 63111 shocks</t>
        </is>
      </c>
      <c r="C15" s="33" t="inlineStr">
        <is>
          <t>Consistent</t>
        </is>
      </c>
      <c r="D15" s="32" t="inlineStr">
        <is>
          <t>Matches Facts §4.</t>
        </is>
      </c>
      <c r="E15" s="32" t="n"/>
    </row>
    <row r="16" ht="23.25" customHeight="1" s="21">
      <c r="A16" s="32" t="inlineStr">
        <is>
          <t>Suspension — front</t>
        </is>
      </c>
      <c r="B16" s="32" t="inlineStr">
        <is>
          <t>OME 859 coils + N181 shocks</t>
        </is>
      </c>
      <c r="C16" s="33" t="inlineStr">
        <is>
          <t>Resolved</t>
        </is>
      </c>
      <c r="D16" s="32" t="inlineStr">
        <is>
          <t>CLOSED: OME 859 coils + N181 shocks added to Facts §1 (TA-005). External part-no verify in R25 pass.</t>
        </is>
      </c>
      <c r="E16" s="32" t="inlineStr">
        <is>
          <t>TA-005</t>
        </is>
      </c>
    </row>
    <row r="17" ht="15" customHeight="1" s="21">
      <c r="A17" s="32" t="inlineStr">
        <is>
          <t>Clutch</t>
        </is>
      </c>
      <c r="B17" s="32" t="inlineStr">
        <is>
          <t>TT 4WD HD, Feb 2026 @ 296,500 km</t>
        </is>
      </c>
      <c r="C17" s="33" t="inlineStr">
        <is>
          <t>Consistent</t>
        </is>
      </c>
      <c r="D17" s="32" t="inlineStr">
        <is>
          <t>Matches Facts §7 (event mileage).</t>
        </is>
      </c>
      <c r="E17" s="32" t="n"/>
    </row>
    <row r="18" ht="23.25" customHeight="1" s="21">
      <c r="A18" s="32" t="inlineStr">
        <is>
          <t>Exhaust</t>
        </is>
      </c>
      <c r="B18" s="32" t="inlineStr">
        <is>
          <t>76mm 409 stainless, May 2026 @ 309,968 km</t>
        </is>
      </c>
      <c r="C18" s="33" t="inlineStr">
        <is>
          <t>Consistent</t>
        </is>
      </c>
      <c r="D18" s="32" t="inlineStr">
        <is>
          <t>Event mileage uniform.</t>
        </is>
      </c>
      <c r="E18" s="32" t="n"/>
    </row>
    <row r="19" ht="23.25" customHeight="1" s="21">
      <c r="A19" s="32" t="inlineStr">
        <is>
          <t>Interference engine</t>
        </is>
      </c>
      <c r="B19" s="32" t="inlineStr">
        <is>
          <t>1HZ IS interference</t>
        </is>
      </c>
      <c r="C19" s="32" t="inlineStr">
        <is>
          <t>To verify</t>
        </is>
      </c>
      <c r="D19" s="32" t="inlineStr">
        <is>
          <t>Presence/correctness to confirm per-doc in tranches (any doc stating non-interference = error).</t>
        </is>
      </c>
      <c r="E19" s="32" t="n"/>
    </row>
    <row r="20" ht="15" customHeight="1" s="21">
      <c r="A20" s="20" t="inlineStr">
        <is>
          <t>TA-018/TA-006 batch</t>
        </is>
      </c>
      <c r="B20" s="20" t="inlineStr">
        <is>
          <t>Closed 21 Jun 2026</t>
        </is>
      </c>
      <c r="C20" s="20" t="inlineStr">
        <is>
          <t>xlsx re-tied 314/R810,872.32 (R8-concordant); R25 re-keyed to 310,000/~89,000</t>
        </is>
      </c>
      <c r="D20" s="20" t="inlineStr">
        <is>
          <t>TA-018, TA-006</t>
        </is>
      </c>
      <c r="E20" s="20" t="inlineStr">
        <is>
          <t>Resolved</t>
        </is>
      </c>
    </row>
    <row r="21">
      <c r="A21" s="20" t="inlineStr">
        <is>
          <t>Tranche 3 cluster batch</t>
        </is>
      </c>
      <c r="B21" s="20" t="inlineStr">
        <is>
          <t>Closed 21 Jun 2026</t>
        </is>
      </c>
      <c r="C21" s="20" t="inlineStr">
        <is>
          <t>R18 (3 edits), R27 (1 edit), R21 (1 edit) — valve-gap &amp; pump-rebuild &amp; boost-pending propagation cleared post-Udel. R3 (TA-019) shim-type fix pending R3 edit. R22 (TA-022) deferred to T4.</t>
        </is>
      </c>
      <c r="D21" s="20" t="inlineStr">
        <is>
          <t>TA-019, TA-020, TA-021, TA-023</t>
        </is>
      </c>
      <c r="E21" s="20" t="inlineStr">
        <is>
          <t>Resolved (R18/R27/R21)</t>
        </is>
      </c>
    </row>
    <row r="22">
      <c r="A22" s="20" t="inlineStr">
        <is>
          <t>Tranche 3 — R4 architecture batch (TA-024/TA-001)</t>
        </is>
      </c>
      <c r="B22" s="20" t="inlineStr">
        <is>
          <t>Closed 21 Jun 2026</t>
        </is>
      </c>
      <c r="C22" s="20" t="inlineStr">
        <is>
          <t>R4 OHV-&gt;SOHC fully reconciled: 16 surgical edits (7 brief targets + 5 sweep-found remnants + clearance-value &amp; lobe-count corrections). 1HZ now correctly described as SOHC, belt-driven, bucket-and-shim throughout. R4 was the last OHV-carrying doc — cluster closed library-wide.</t>
        </is>
      </c>
      <c r="D22" s="20" t="inlineStr">
        <is>
          <t>TA-024, TA-001</t>
        </is>
      </c>
      <c r="E22" s="20" t="inlineStr">
        <is>
          <t>Resolved</t>
        </is>
      </c>
    </row>
    <row r="23">
      <c r="A23" s="20" t="inlineStr">
        <is>
          <t>Register reconciliation (Checklist / R26 / R5 div)</t>
        </is>
      </c>
      <c r="B23" s="20" t="inlineStr">
        <is>
          <t>Verified clean 21 Jun 2026</t>
        </is>
      </c>
      <c r="C23" s="20" t="inlineStr">
        <is>
          <t>All 3 stale memory flags checked against live repo &amp; found already resolved: Service_Checklist registered (under R8) + wired (index + sw.js precache); R26 correctly labelled INTERIM lead-acid (not 'on hold'), repo &amp; Register consistent; R5 div 614/614, JS OK. No edits needed. Fetch-before-edit prevented chasing non-defects.</t>
        </is>
      </c>
      <c r="D23" s="20" t="inlineStr">
        <is>
          <t>(register-mgmt, not TA/LX)</t>
        </is>
      </c>
      <c r="E23" s="20" t="inlineStr">
        <is>
          <t>Resolved</t>
        </is>
      </c>
    </row>
    <row r="24">
      <c r="A24" s="20" t="inlineStr">
        <is>
          <t>T4 odometer batch (R22 + Checklist + R23)</t>
        </is>
      </c>
      <c r="B24" s="20" t="inlineStr">
        <is>
          <t>310,412 / 86,006 (corrected from stale 310,000 / 85,594)</t>
        </is>
      </c>
      <c r="C24" s="20" t="inlineStr">
        <is>
          <t>Closed 21 Jun 2026 (scope-b full refresh)</t>
        </is>
      </c>
      <c r="D24" s="20" t="inlineStr">
        <is>
          <t>R22 (3 current re-keys); Checklist (turbo/flush → 86,006, valve flip, anchor 308,248 retained); R23 (49 edits: current+derived refresh, valve/injector/pump → Udel, exhaust-spec 0.35-0.45, timing-belt contradiction corrected @273,023, fuel-filter done, Denso→Bosch). Events 308,248/308,500 preserved. Concordance rows 2/12 (310,000/85,594) SUPERSEDED. R8 deferred (TA-003/004 + new TA-030 glow-plug).</t>
        </is>
      </c>
      <c r="E24" s="20" t="inlineStr">
        <is>
          <t>Resolved (R22/Checklist/R23); R8 open</t>
        </is>
      </c>
    </row>
    <row r="25">
      <c r="A25" s="20" t="inlineStr">
        <is>
          <t>Glow-plug provenance + diesel-tank remediation (Udel Jun 2026)</t>
        </is>
      </c>
      <c r="B25" s="20" t="inlineStr">
        <is>
          <t>Glow: tested Mar 2025 / R&amp;R Jun 2026 (not re-tested). Tank: dropped/flushed Jun 2026 (Udel)</t>
        </is>
      </c>
      <c r="C25" s="20" t="inlineStr">
        <is>
          <t>Corrected 21 Jun 2026 (live-ledger reversal)</t>
        </is>
      </c>
      <c r="D25" s="20" t="inlineStr">
        <is>
          <t>Initial glow conclusion ('Udel didn't do glow plugs; correct R8 to Mar 2025') REVERSED by the live R8 314-rec ledger ('incl. glow plugs' + diesel-tank flush). R23/Facts harmonised; R8 glow-row refinement → R8 session. Vindicates fetch-before-conclude: pre-Udel /mnt/project ledger copy (289 rows) lacked the Udel rows.</t>
        </is>
      </c>
      <c r="E25" s="20" t="inlineStr">
        <is>
          <t>Resolved (R23/Facts); R8 open</t>
        </is>
      </c>
    </row>
    <row r="26">
      <c r="A26" s="20" t="inlineStr">
        <is>
          <t>R8 dedicated pass (TA-003/004/030)</t>
        </is>
      </c>
      <c r="B26" s="20" t="inlineStr">
        <is>
          <t>310,412 / 86,006 / 38,227</t>
        </is>
      </c>
      <c r="C26" s="20" t="inlineStr">
        <is>
          <t>Closed 21 Jun 2026</t>
        </is>
      </c>
      <c r="D26" s="20" t="inlineStr">
        <is>
          <t>R8 (last odo-stale file) reconciled: header+tile -&gt; 310,412 (Udel last service 19 Jun); turbo/coolant derived -&gt; 86,006, drain-hose -&gt; 38,227; glow L1043 + L778 harmonised to 'tested Mar 2025 (DupDiesel) / R&amp;R Jun 2026 (Udel), not re-tested'. 11 surgical edits, div 223/223, JS OK, JSON ledger byte-identical (314 / R810,872), events preserved. T4 odometer batch CLOSED library-wide; monthly-odometer standing process takes over.</t>
        </is>
      </c>
      <c r="E26" s="20" t="inlineStr">
        <is>
          <t>Resolved</t>
        </is>
      </c>
    </row>
    <row r="27">
      <c r="A27" s="20" t="inlineStr">
        <is>
          <t>R34 brake page (TA-011) Tier-1 + torque-gap</t>
        </is>
      </c>
      <c r="B27" s="20" t="inlineStr">
        <is>
          <t>Field-level (owner) — no torque tables</t>
        </is>
      </c>
      <c r="C27" s="20" t="inlineStr">
        <is>
          <t>Closed 21 Jun 2026</t>
        </is>
      </c>
      <c r="D27" s="20" t="inlineStr">
        <is>
          <t>RM0584E brake module (RM899E) located/validated as Tier-1 source; owner-uploaded PDF was 1HZ engine manual (wrong scope, retained for engine re-verify). LSPV Tier-1-confirmed; fluid/bleed content sound + correctly hedged. Owner chose field-level: no torque tables added. No R34 edit. Closes last Tranche-2 dangling item.</t>
        </is>
      </c>
      <c r="E27" s="20" t="inlineStr">
        <is>
          <t>Resolved</t>
        </is>
      </c>
    </row>
    <row r="28">
      <c r="A28" s="20" t="inlineStr">
        <is>
          <t>T4-remainder Session A (R31 Upgrade Assessment; R1/R2 clean)</t>
        </is>
      </c>
      <c r="B28" s="20" t="inlineStr">
        <is>
          <t>0.6 bar (~8.7 psi) boost; 86,006 km on turbo recon; intercooler ~260,000 km</t>
        </is>
      </c>
      <c r="C28" s="20" t="inlineStr">
        <is>
          <t>Closed 22 Jun 2026 (TA-032); TA-033 R31-portion done</t>
        </is>
      </c>
      <c r="D28" s="20" t="inlineStr">
        <is>
          <t>R31: 0.5→0.6 bar (~8.7 psi) ×4 incl. ~7 psi; 'confirmed Jun 2026' on lead turbo card. Turbo-recon derived ~84,000→86,006 ×3 (table/prose/meta). Intercooler derived km-since ~254,000→~260,000 ×3 (table/prose/meta) — scope finding beyond brief, owner-approved (310,412−50,637=259,775). Masthead Last Updated Apr→Jun 2026. Events preserved (cambelt 273,023, recon 224,406, exhaust 309,968); costs preserved (R8,500; R48,000–R89,000). Snyman forward-looking refs flagged — owner chose LEAVE (fixed booked-assessment milestone, not de-preferenced). R1 &amp; R2 audited CLEAN, no edits: R1 payload/kerb already ~-framed (TA-002-gated), valve item generic advisory, no boost; R2 0.15=CSS alpha + glow-plug=operational (both false positives). div R31 140/140, R1 190/190, R2 301/301; JS OK. index.html Last Updated → 22 Jun 2026; sw.js no bump.</t>
        </is>
      </c>
      <c r="E28" s="20" t="inlineStr">
        <is>
          <t>TA-032 Resolved; TA-033 partial (R11/R28 pending)</t>
        </is>
      </c>
    </row>
    <row r="29">
      <c r="A29" s="20" t="inlineStr">
        <is>
          <t>R31 owner content decisions (Session A, same pass)</t>
        </is>
      </c>
      <c r="B29" s="20" t="inlineStr">
        <is>
          <t>Owner-directed upgrade-status changes (not TA/LX findings)</t>
        </is>
      </c>
      <c r="C29" s="20" t="inlineStr">
        <is>
          <t>Applied 22 Jun 2026</t>
        </is>
      </c>
      <c r="D29" s="20" t="inlineStr">
        <is>
          <t>Five S3 'Evaluate' items reallocated on owner instruction: free-flow exhaust → S2 Already Done (complete); boost gauge, high-output alternator, ARP head studs, high-flow airbox → S4 Not Required (reclassify, not delete — preserves decision trail). Rationale: boost gauge not fitting (boost confirmed 0.6 bar Jun 2026, Udel); alternator stock 80A retained (expert-reviewed, neutral); ARP studs not necessary (Udel confirmed, block test passed); airbox decided against (stock retained, neutral). Matrix bands + card sections both updated; exhaust card boost-gauge tail reworded to 'confirmed 0.6 bar'. div 136/136 (count dropped from leaner rewritten cards; balanced), JS OK. CROSS-FILE FLAGS for later: R8/R21 still say 'verify if boost gauge installed' (Facts already says none to be fitted) — harmonise; R23/R5/R7 alternator load-test refs still valid (stock-unit adequacy), confirm they don't recommend the 120-140A upgrade.</t>
        </is>
      </c>
      <c r="E29" s="20" t="inlineStr">
        <is>
          <t>(content-decision memo, not TA/LX)</t>
        </is>
      </c>
    </row>
    <row r="30">
      <c r="A30" s="20" t="inlineStr">
        <is>
          <t>T4-remainder Session B (R11 Packing Optimisation)</t>
        </is>
      </c>
      <c r="B30" s="20" t="inlineStr">
        <is>
          <t>Current odometer 310,412 km</t>
        </is>
      </c>
      <c r="C30" s="20" t="inlineStr">
        <is>
          <t>Closed 22 Jun 2026 (R11 portion of TA-033)</t>
        </is>
      </c>
      <c r="D30" s="20" t="inlineStr">
        <is>
          <t>R11 (84.8 KB, weighbridge-gated): single Type-A edit — vehicle-spec Odometer ~310,000→310,412 km. Payload/WEIGHT section left provisional per TA-002 gate (factory kerb ~2,160 → revised ~2,287 → payload ~563; load ~659 of 563 = ~96 kg over GVM) — already hedged ('estimates; weigh at public weighbridge' ×3). No payload reconciliation. Turbo @ 38,429 km + intercooler @ 50,637 km = install events, preserved. No boost-pressure figure present → R11 not in boost sweep. Tyres 265/70R16 current, correct. div 96/96, 2 scripts OK. TA-033 now R11+R31 done; R28 masthead (Session C) outstanding.</t>
        </is>
      </c>
      <c r="E30" s="20" t="inlineStr">
        <is>
          <t>TA-033 R11+R31 done; R28 pending (Session C)</t>
        </is>
      </c>
    </row>
    <row r="31">
      <c r="A31" s="20" t="inlineStr">
        <is>
          <t>T4-remainder Session C (R28 Driving Conditions) — TRANCHE COMPLETE</t>
        </is>
      </c>
      <c r="B31" s="20" t="inlineStr">
        <is>
          <t>Current odometer 310,412 km</t>
        </is>
      </c>
      <c r="C31" s="20" t="inlineStr">
        <is>
          <t>Closed 22 Jun 2026 (TA-033 fully closed)</t>
        </is>
      </c>
      <c r="D31" s="20" t="inlineStr">
        <is>
          <t>R28 (104 KB): masthead ~310,000→310,412 (Type-A); payload '551 kg'→'~551 kg' (provisional framing, owner-approved, TA-002 gate intact); '(Andrea)' personal name dropped from Powerflow exhaust ref (line 778); line 583 '35 PSI (2.4 bar)'→'2.4 bar (35 PSI)' (bar-primary consistency). CORRECTION: pressure tables are two-column bar-primary + psi-secondary — COMPLIANT (my initial bar-only/psi-primary reads were both wrong). Glow plugs ×4 all operational. div 215/215, JS OK. T4-remainder (R1/R2/R11/R28/R31) COMPLETE.</t>
        </is>
      </c>
      <c r="E31" s="20" t="inlineStr">
        <is>
          <t>TA-033 CLOSED; T4-remainder tranche complete</t>
        </is>
      </c>
    </row>
    <row r="32">
      <c r="A32" s="20" t="inlineStr">
        <is>
          <t>Boost-figure library survey (owner-initiated) + incidental stale-figure sweep</t>
        </is>
      </c>
      <c r="B32" s="20" t="inlineStr">
        <is>
          <t>Boost 0.6 bar (~8.7 psi) canonical</t>
        </is>
      </c>
      <c r="C32" s="20" t="inlineStr">
        <is>
          <t>Survey done 22 Jun 2026; edits PENDING owner decisions</t>
        </is>
      </c>
      <c r="D32" s="20" t="inlineStr">
        <is>
          <t>R11 vehicle-overview turbo row: added 0.6 bar (~8.7 psi). LIBRARY SURVEY (34 docs): NO stale '0.5 bar' anywhere (correction-sweep empty). Already 0.6 bar: R8, R21 (reference, consistent). BOOST-ADD candidates (spec/overview/masthead, no boost shown): R1, R13, R19, R23, R24, R27. DISCREPANCY: R18 line 890 'Max boost ~75 kPa / 0.75 bar' exceeds R21's 7-10 psi envelope + contradicts confirmed 0.6 bar — ruling needed. INCIDENTAL stale found: current-odo mastheads ~310,000 in R19/R20/R27/R34 (→310,412); contextual ~310,000 approximations in R18/R25/R27/R20 (round, judgement); stale derived turbo-km ~80,600 in R23/R20 (→~86,006); turbo install-km INCONSISTENT 35,000 (R18) vs 38,429 (R1/R11) — canonical ruling needed. R8 310,000 = milestone labels, PRESERVE. NOTHING EDITED beyond R11; awaiting owner decisions before sweep.</t>
        </is>
      </c>
      <c r="E32" s="20" t="inlineStr">
        <is>
          <t>New open items: boost-adds; R18 0.75; odo-propagation; turbo install-km</t>
        </is>
      </c>
    </row>
    <row r="33">
      <c r="A33" s="20" t="inlineStr">
        <is>
          <t>R18 turbo-card discrepancy fix + R11 boost trim (owner-directed)</t>
        </is>
      </c>
      <c r="B33" s="20" t="inlineStr">
        <is>
          <t>Boost 0.6 bar (bar-only); turbo install 38,429 km</t>
        </is>
      </c>
      <c r="C33" s="20" t="inlineStr">
        <is>
          <t>Applied 22 Jun 2026</t>
        </is>
      </c>
      <c r="D33" s="20" t="inlineStr">
        <is>
          <t>R18 (93.9 KB) turbo sensor card: title 'Turbo — SAC Low-Boost'→'Turbo'; 'Max boost pressure ~75 kPa / 0.75 bar'→'Boost pressure 0.6 bar' (resolves 0.75-vs-confirmed-0.6 discrepancy); 'Reconditioned by SAC Turbos'→'Installed by SAC'; 'Installed at (approx km) ~35,000 km'→'Installed at 38,429 km' (canonical install km per owner). R11 vehicle-overview trimmed '0.6 bar (~8.7 psi)'→'0.6 bar' (bar-only house style). div R18 511/511, R11 96/96, JS OK. REMAINING boost-adds (R1/R13/R19/R23/R24/R27) + odo-propagation chartered as separate passes.</t>
        </is>
      </c>
      <c r="E33" s="20" t="inlineStr">
        <is>
          <t>R18 discrepancy resolved; install-km harmonised to 38,429</t>
        </is>
      </c>
    </row>
    <row r="34">
      <c r="A34" s="20" t="inlineStr">
        <is>
          <t>Boost-add + odo/derived sweep — §5 step 1 (R1 + R13 + R34)</t>
        </is>
      </c>
      <c r="B34" s="20" t="inlineStr">
        <is>
          <t>Boost 0.6 bar (bar-only); current-odo 310,412 km</t>
        </is>
      </c>
      <c r="C34" s="20" t="inlineStr">
        <is>
          <t>In progress — opened 22 Jun 2026 (TA-034 boost-add, TA-035 odo/derived); both Open</t>
        </is>
      </c>
      <c r="D34" s="20" t="inlineStr">
        <is>
          <t>R1 (29.8KB): row-val -&gt; '0.6 bar · 118 kW / 373 Nm' (&amp;#183; entity). R13 (58.8KB): drivetrain line -&gt; '...with SAC turbo at 0.6 bar'; masthead Last Updated 24 Mar-&gt;22 Jun 2026. R34 (36.8KB): masthead ~310,000-&gt;310,412 km (sole occurrence; tilde dropped, middots untouched); no last-updated field (footer 'Compiled June 2026' = provenance, preserved). R1 has NO date element (nothing to bump). NEW STANDING RULE (owner, 22 Jun): always bump a doc's own masthead 'Last updated' to session date when worked on. Validation: div R1 190/190, R13 104/104, R34 84/84; JS OK; no stale ~310,000 / 0.5 bar in scope; events/costs preserved. index.html already 22 Jun (no-op); sw.js no bump.</t>
        </is>
      </c>
      <c r="E34" s="20" t="inlineStr">
        <is>
          <t>TA-034 + TA-035 Open (session 1 of multi-file passes)</t>
        </is>
      </c>
    </row>
    <row r="35">
      <c r="A35" s="20" t="inlineStr">
        <is>
          <t>§5 step 2 (R19 AT Tyre Review) — boost-add + odo, single session</t>
        </is>
      </c>
      <c r="B35" s="20" t="inlineStr">
        <is>
          <t>Boost 0.6 bar (bar-only); current odometer 310,412 km</t>
        </is>
      </c>
      <c r="C35" s="20" t="inlineStr">
        <is>
          <t>Applied 22 Jun 2026</t>
        </is>
      </c>
      <c r="D35" s="20" t="inlineStr">
        <is>
          <t>R19 (96.7 KB, own session per &gt;80KB rule): two surgical edits in one fetch. Vehicle overview (l.316): 'SAC low-boost turbo · GVM 2,850 kg · ~310,000 km' -&gt; 'SAC low-boost turbo (0.6 bar) · GVM 2,850 kg · 310,412 km' (boost-add bar-only + current-odo refresh, tilde dropped). Masthead (l.296): Last Updated 06 Jun -&gt; 22 Jun 2026 (standing rule). Line 324 'low-boost turbo' prose left (not spec/overview/masthead). div 674/674 held, 1 script JS OK, stale sweep clean (no surviving ~310,000 / no 0.5-0.75 bar), events/install-km(38,429)/costs untouched. index.html already 22 Jun (no-op); sw.js no bump. TA-034 + TA-035 R19 portions done, both remain Open.</t>
        </is>
      </c>
      <c r="E35" s="20" t="inlineStr">
        <is>
          <t>TA-034/TA-035 R19 done; both Open (R23/R24/R27 + R20/R23/R27 pending)</t>
        </is>
      </c>
    </row>
    <row r="36">
      <c r="A36" s="20" t="inlineStr">
        <is>
          <t>§5 step 3 (R23 Pre-Trip Prep Protocol) — boost-add + derived-km, single session</t>
        </is>
      </c>
      <c r="B36" s="20" t="inlineStr">
        <is>
          <t>Boost 0.6 bar (bar-only); derived turbo-km ~86,006 km</t>
        </is>
      </c>
      <c r="C36" s="20" t="inlineStr">
        <is>
          <t>Applied 22 Jun 2026</t>
        </is>
      </c>
      <c r="D36" s="20" t="inlineStr">
        <is>
          <t>R23 (90.6 KB, own session per &gt;80KB rule): three surgical edits in one fetch, all owner-approved. Masthead std-vehicle bar (l.448): 'SAC Low-Boost Turbo · R151F 5-Speed · GVM 2,850 kg · April 2026' -&gt; 'SAC Low-Boost Turbo (0.6 bar) · R151F 5-Speed · GVM 2,850 kg · June 2026' (boost-add bar-only + masthead month-year date bump Apr-&gt;Jun, standing rule; harmonises w/ footer). Footer spec bar (l.1595): 'SAC Low-Boost Turbo · ~310,412 km · June 2026' -&gt; 'SAC Low-Boost Turbo (0.6 bar) · ~310,412 km · June 2026' (boost-add bar-only, owner-approved 22 Jun). Derived turbo-km (l.1324): reconned Aug 2023 224,406 km '(~80,600 km ago)' -&gt; '(~86,006 km ago)' (lone straggler brought into line w/ ~86,006 already at 891/892; event 224,406 preserved). Current odo 310,412 already present (768/769/891/892/1595) - no odo edit. Coolant-cap 0.88 bar/13 psi (l.913) untouched (not boost). div 235/235 held, 2 scripts JS OK, stale sweep clean (no surviving ~80,600 / no 0.5-0.75 bar; ~86,006 x3, 224,406 x1), events/install-km(38,429)/costs untouched. index.html already 22 Jun (no-op); sw.js no bump. NOTE: R19 step-2 confirmed committed at tip (earlier main-raw mismatch was CDN propagation lag; SHA-pinned fetch verified). TA-034 + TA-035 R23 portions done, both remain Open.</t>
        </is>
      </c>
      <c r="E36" s="20" t="inlineStr">
        <is>
          <t>TA-034/TA-035 R23 done; both Open (R24/R27 + R20/R27 pending)</t>
        </is>
      </c>
    </row>
    <row r="37">
      <c r="A37" s="20" t="inlineStr">
        <is>
          <t>R23 triage table — valve-clearance verdict correction (owner-spotted)</t>
        </is>
      </c>
      <c r="B37" s="20" t="inlineStr">
        <is>
          <t>Valve clearances set Jun 2026 @ 310,412 km — IN INTERVAL</t>
        </is>
      </c>
      <c r="C37" s="20" t="inlineStr">
        <is>
          <t>Applied 22 Jun 2026</t>
        </is>
      </c>
      <c r="D37" s="20" t="inlineStr">
        <is>
          <t>R23 Triage Decision Table (l.585): valve-clearances Verdict 'CHECK &amp; SET' (verdict-replace, action-required styling) -&gt; 'IN INTERVAL' (verdict-leave). Stale verdict predating the Jun 2026 adjustment — clearances were set by Udel @ 310,412 km (12 shims, first recorded adjustment), 0 km ago. Now consistent with (a) its own Action cell 'Completed Jun 2026 — re-check ~40,000 km' and (b) the parallel Fuel-injectors row (same Jun 2026 / 310,412 km / freshly done, already IN INTERVAL). Action cell unchanged (already correct). div 235/235 held, 2 scripts JS OK, boost edits (l.448/1324/1595) preserved. Owner-spotted, out-of-original-R23-brief; executed under owner direction 22 Jun. Logged as Concordance note (not raised as TA) — internal-consistency fix, no external source. index.html 22 Jun (no-op); sw.js no bump.</t>
        </is>
      </c>
      <c r="E37" s="20" t="inlineStr">
        <is>
          <t>Triage verdict stale-state corrected; consistent w/ injectors row</t>
        </is>
      </c>
    </row>
    <row r="38">
      <c r="A38" s="20" t="inlineStr">
        <is>
          <t>§5 step 4 (R24 Fuel System &amp; Diesel Quality Guide) — boost-add only, single session</t>
        </is>
      </c>
      <c r="B38" s="20" t="inlineStr">
        <is>
          <t>Boost 0.6 bar (bar-only)</t>
        </is>
      </c>
      <c r="C38" s="20" t="inlineStr">
        <is>
          <t>Applied 22 Jun 2026</t>
        </is>
      </c>
      <c r="D38" s="20" t="inlineStr">
        <is>
          <t>R24 (96.4 KB, own session per &gt;80KB rule): single owner-chartered surgical edit in one fetch (SHA-pinned; main-raw matched, no CDN lag today). Masthead mh-vehicle bar (l.373): 'SAC Low-Boost Turbo · 145L Main' -&gt; 'SAC Low-Boost Turbo (0.6 bar) · 145L Main' (boost-add bar-only). 'SAC Low-Boost Turbo' appears exactly ONCE in the file — this masthead bar is the only turbo reference; no spec/overview/footer turbo line to harmonise. R24 carries NO date element anywhere (no masthead date / 'Last Updated' / 'Compiled' / footer date) -&gt; standing date-bump rule is a no-op (same as R1); no date field invented. Pure ADD, not a correction: pre-edit sweep 0.6/0.5/0.75 bar all = 0. No odo/derived/event figures in file (310,412 / ~310,000 / 80,600 / 86,006 / 224,406 / 38,429 all = 0) — none introduced. div 484/484 held, 1 script JS OK, size +10 B (ASCII ' (0.6 bar)'). index.html already 22 Jun (no-op); sw.js no bump (existing-file edit). TA-034 R24 portion done; R24 out of TA-035 scope (no odo/derived). TA-034 remains Open (R27 last).</t>
        </is>
      </c>
      <c r="E38" s="20" t="inlineStr">
        <is>
          <t>TA-034 R24 done; Open (R27 pending). TA-035 N/A to R24 (no odo/derived)</t>
        </is>
      </c>
    </row>
    <row r="39">
      <c r="A39" s="20" t="inlineStr">
        <is>
          <t>§5 step 5 (R27 Bush Mechanics Field Guide) — combined masthead boost-add + odo</t>
        </is>
      </c>
      <c r="B39" s="20" t="inlineStr">
        <is>
          <t>Boost 0.6 bar (bar-only); current-odo 310,412 km</t>
        </is>
      </c>
      <c r="C39" s="20" t="inlineStr">
        <is>
          <t>Applied 23 Jun 2026</t>
        </is>
      </c>
      <c r="D39" s="20" t="inlineStr">
        <is>
          <t>R27 (127.0 KB, own session per &gt;80KB rule): single combined masthead str_replace (l.339 mh-vehicle) — boost-add (0.6 bar, bar-only) + odo ~310,000-&gt;310,412 (exact, tilde dropped). div 815/815; 1 script JS OK. Contextual L828/L830 ~310,000 left per policy. Events 202,066 / 310,412 (valve-set) / 275,000 preserved. No date element so no date bump. No derived turbo-km in file.</t>
        </is>
      </c>
      <c r="E39" s="20" t="inlineStr">
        <is>
          <t>TA-034 R27 done — boost-add sweep COMPLETE (R1/R13/R19/R23/R24/R27); TA-034 CLOSED. TA-035 R27 masthead odo done; stays Open (R20 pending).</t>
        </is>
      </c>
    </row>
    <row r="40" s="21">
      <c r="A40" s="20" t="inlineStr">
        <is>
          <t>§5 step 6 (R20 Seal &amp; Gasket Atlas) — masthead odo + date + derived turbo-km, single session</t>
        </is>
      </c>
      <c r="B40" s="20" t="inlineStr">
        <is>
          <t>current-odo 310,412 km; derived turbo-km ~86,006 km</t>
        </is>
      </c>
      <c r="C40" s="20" t="inlineStr">
        <is>
          <t>Applied 23 Jun 2026</t>
        </is>
      </c>
      <c r="D40" s="20" t="inlineStr">
        <is>
          <t>R20 (131.5 KB, own session per &gt;80KB rule): three text-only surgical edits in one SHA-pinned fetch (main-raw matched, no CDN lag). Edit 1 masthead l.317 (ms-vehicle): odo ~310,000-&gt;310,412 (exact, tilde dropped) folded with masthead date 04 June-&gt;23 June 2026. Edit 2 derived turbo-km l.943: ~80,600-&gt;~86,006 (tilde kept, delta 310,412-224,406); recon event 224,406 preserved in same sentence. Edit 3 footer l.2045: Updated April-&gt;June 2026 per owner D1 (masthead/footer date-element alignment). div 1304/1304; 1 script JS OK; size 134,650-&gt;134,648 B (-2). Contextual l.348/l.367 ~310,000 left per TA-035 policy. No boost in file (0.6 bar = 0; none added — R20 outside boost sweep). index.html date already current; sw.js no bump (existing-file edit).</t>
        </is>
      </c>
      <c r="E40" s="20" t="inlineStr">
        <is>
          <t>TA-035 CLOSED — odo/derived sweep complete (R20 was the last odo/derived file). Open now = 1 (TA-002 weighbridge, owner-gated).</t>
        </is>
      </c>
    </row>
    <row r="41" s="21">
      <c r="A41" s="20" t="inlineStr">
        <is>
          <t>Governance — working-papers register de-duplication (owner item 1, 23 Jun 2026)</t>
        </is>
      </c>
      <c r="B41" s="20" t="inlineStr">
        <is>
          <t>Single ledger of record = LC76_Library_Audit_WorkingPapers.xlsx</t>
        </is>
      </c>
      <c r="C41" s="20" t="inlineStr">
        <is>
          <t>Applied 23 Jun 2026</t>
        </is>
      </c>
      <c r="D41" s="20" t="inlineStr">
        <is>
          <t>Two physical xlsx copies on GitHub: LC76_Library_Audit_WorkingPapers.xlsx (canonical renamed name — referenced by Library_Register.txt, Project_Instructions.txt, index.html) and LC76_Phase2_WorkingPapers.xlsx (47,352 B, orphaned pre-rename name, byte-identical TA/LX content, ZERO inbound references). The audit report's 23-Jun note already recorded the 'renamed from Phase 2' action; the old copy lingered on GitHub (add-new without rm-old). Resolution: nominate Library_Audit_WorkingPapers.xlsx as sole ledger of record; owner to git rm LC76_Phase2_WorkingPapers.xlsx (no reference churn — nothing points to it). No sw.js/index/Register change (audit artifacts unprecached; Phase2 unreferenced). Summary count-formula baseline (11) preserved; TA Open=1/Closed=30 unchanged.</t>
        </is>
      </c>
      <c r="E41" s="20" t="inlineStr">
        <is>
          <t>Governance hygiene — single ledger of record; removes divergence risk</t>
        </is>
      </c>
    </row>
    <row r="42" s="21">
      <c r="A42" s="20" t="inlineStr">
        <is>
          <t>Design Guidelines v1.2 -&gt; v1.4 promotion + mobile sticky-bg fix (F13 / LX-001/002/003), single session</t>
        </is>
      </c>
      <c r="B42" s="20" t="inlineStr">
        <is>
          <t>DG v1.4 (June 2026); sticky-nav-unit background + ::before slab</t>
        </is>
      </c>
      <c r="C42" s="20" t="inlineStr">
        <is>
          <t>Applied 23 Jun 2026</t>
        </is>
      </c>
      <c r="D42" s="20" t="inlineStr">
        <is>
          <t>LC76_Design_Guidelines.html (52.0 KB): owner-confirmed promotion on live v1.2 base (v1.3 draft superseded). Screen CSS: added ;background:var(--ink) to .sticky-nav-unit + new .sticky-nav-unit::before{content:'';position:absolute;left:0;right:0;bottom:100%;height:100vh;background:var(--ink)} — pattern lifted verbatim from confirmed-working R32 (identical R26/R33). Print CSS: added .sticky-nav-unit::before{content:none}. Version bumped v1.2-&gt;v1.4 / April-&gt;June 2026 in title, masthead std-sub, footer. Pattern documented in S8 PWA safe-area row + S9 Do-list. Currency refresh: masthead '...+ Calculators · 22 documents' -&gt; 'Reference docs R1–R36 + 6 Calculators'; footer + comparison-table 'R1–R23 + 5 Calculators' -&gt; 'R1–R36 + 6 Calculators' (Fuel Log Analyser added). Demo masthead 'April 2026' left as worked-example content. div 133/133; 1 script JS OK. No sw.js bump (content edit); index.html already 23 Jun 2026.</t>
        </is>
      </c>
      <c r="E42" s="20" t="inlineStr">
        <is>
          <t>F13 RESOLVED; LX-001/LX-002/LX-003 CLOSED</t>
        </is>
      </c>
    </row>
    <row r="43" s="21">
      <c r="A43" s="20" t="inlineStr">
        <is>
          <t>Injection-pump architecture + canonical naming (1HZ) — R4 corrected (TA-036)</t>
        </is>
      </c>
      <c r="B43" s="20" t="inlineStr">
        <is>
          <t>Bosch VE (Denso-built) rotary distributor pump; single plunger; boost-compensated on turbo (per ledger/R24/R27; Facts names "Bosch VE")</t>
        </is>
      </c>
      <c r="C43" s="20" t="inlineStr">
        <is>
          <t>Applied 24 Jun 2026 (R4)</t>
        </is>
      </c>
      <c r="D43" s="20" t="inlineStr">
        <is>
          <t>LC76_Engine_Training.html (227 KB): comp-glyph/comp-name/comp-code/desc-para/components-table corrected from "Bosch/Denso" + "inline 6-element/rack" to "Bosch VE (Denso-built)" rotary distributor (single plunger; governor+control collar). Edit 5 (comp-code l.984) added beyond brief to prevent internal contradiction. Denso retained once (first-mention comp-name) per naming rule. Turbo/boost-compensator sentence + "six delivery valves" (l.1042, correct for VE) preserved. div 939/942 pre-existing source imbalance unchanged (flagged). No date element (Rev 3.0 footer untouched). R24/R27 (+R20/R31 per Step 5) pending; TA-036 scope flagged for owner reconciliation. Summary count-formula baseline (11) preserved; integrity None.</t>
        </is>
      </c>
      <c r="E43" s="20" t="inlineStr">
        <is>
          <t>1HZ pump architecture corrected (was factually wrong: inline 6-element); R4 done, status OPEN pending sibling files</t>
        </is>
      </c>
    </row>
    <row r="44">
      <c r="A44" s="20" t="inlineStr">
        <is>
          <t>Injection-pump canonical naming (1HZ) — R24 corrected (TA-036)</t>
        </is>
      </c>
      <c r="B44" s="20" t="inlineStr">
        <is>
          <t>Bosch VE (Denso-built) rotary distributor pump (full form first mention only, 'Bosch VE' thereafter); per ledger/Udel Jun 2026 invoice + Project Instructions</t>
        </is>
      </c>
      <c r="C44" s="20" t="inlineStr">
        <is>
          <t>Applied 24 Jun 2026 (R24)</t>
        </is>
      </c>
      <c r="D44" s="20" t="inlineStr">
        <is>
          <t>LC76_Fuel_System_Guide.html (96,459-&gt;97,125 B): 6 'Denso VE'/'Denso' mentions -&gt; 'Bosch VE' (masthead carries full 'Bosch VE (Denso-built)'); Denso reconciled 6-&gt;1, Bosch VE=7. Field note added (Jun 2026 FI overhaul @310,412 km, R36,729.31, 12 valve clearances first recorded) before 'Regional Fuel Quality' sub-head; generic supplier. div 484-&gt;485 balanced; JS OK. index.html card-line Denso-&gt;Bosch VE (Denso=0); date already 24 Jun 2026; no sw.js bump. Integrity None; count-formula baseline (11) preserved.</t>
        </is>
      </c>
      <c r="E44" s="20" t="inlineStr">
        <is>
          <t>R24 pump naming corrected; R4+R24 done, TA-036 status OPEN pending R27 (+ R20/R31 scope reconciliation)</t>
        </is>
      </c>
    </row>
    <row r="45">
      <c r="A45" s="20" t="inlineStr">
        <is>
          <t>Injection-pump canonical naming (1HZ) — R27 corrected (TA-036)</t>
        </is>
      </c>
      <c r="B45" s="20" t="inlineStr">
        <is>
          <t>Bosch VE (Denso-built) rotary injection pump (full form first mention only, 'Bosch VE' thereafter); per ledger/Project Instructions</t>
        </is>
      </c>
      <c r="C45" s="20" t="inlineStr">
        <is>
          <t>Applied 24 Jun 2026 (R27)</t>
        </is>
      </c>
      <c r="D45" s="20" t="inlineStr">
        <is>
          <t>LC76_Bush_Mechanics_Guide.html (130,045-&gt;130,066 B): 3 edits — first-mention 'Denso VE'-&gt;'Bosch VE (Denso-built)' (l.1022); not-to-do note 'Denso VE'-&gt;'Bosch VE' (l.1314); forward-looking action item 'Denso-trained ... specialist'-&gt;'diesel fuel-injection specialist (VE-pump experience)' (l.1027, owner-confirmed genericisation per supplier-naming discipline). Denso reconciled 3-&gt;1; Bosch VE=2. div 815/815; JS OK; +21 B. No date element; index already 24 Jun 2026; no sw.js bump. Integrity None; count-formula baseline (11) preserved.</t>
        </is>
      </c>
      <c r="E45" s="20" t="inlineStr">
        <is>
          <t>R27 pump naming corrected; R4+R24+R27 done. TA-036 scope amended to 5 files (owner 24 Jun 2026: +R20/R31); status OPEN pending R20/R31.</t>
        </is>
      </c>
    </row>
    <row r="46">
      <c r="A46" s="20" t="inlineStr">
        <is>
          <t>Injection-pump canonical naming (1HZ) — R31 corrected (TA-036)</t>
        </is>
      </c>
      <c r="B46" s="20" t="inlineStr">
        <is>
          <t>Bosch VE (Denso-built) injection pump (full form first mention only, 'Bosch VE' thereafter); per ledger/Project Instructions</t>
        </is>
      </c>
      <c r="C46" s="20" t="inlineStr">
        <is>
          <t>Applied 24 Jun 2026 (R31)</t>
        </is>
      </c>
      <c r="D46" s="20" t="inlineStr">
        <is>
          <t>LC76_Upgrade_Assessment.html (43,763-&gt;43,777 B): 2 edits — first-mention 'Denso VE'-&gt;'Bosch VE (Denso-built)' (l.285); ECU-tuning para 'Denso VE'-&gt;'Bosch VE' (l.408). Denso reconciled 2-&gt;1; Bosch VE=2. div 136/136; JS OK; +14 B. Masthead 'June 2026' date-bump no-op (same month); index already 24 Jun 2026; no sw.js bump. Out-of-scope flag: 'Current calibration: Mar 2025' (l.285/408) potentially stale post-Jun-2026 pump R&amp;R — flagged to owner. Integrity None; count-formula baseline (11) preserved.</t>
        </is>
      </c>
      <c r="E46" s="20" t="inlineStr">
        <is>
          <t>R31 pump naming corrected; R4+R24+R27+R31 done. TA-036 status OPEN pending R20 (final file).</t>
        </is>
      </c>
    </row>
    <row r="47">
      <c r="A47" s="20" t="inlineStr">
        <is>
          <t>Injection-pump canonical naming (1HZ) — R20 (Seal &amp; Gasket Atlas)</t>
        </is>
      </c>
      <c r="B47" s="20" t="inlineStr">
        <is>
          <t>Bosch VE (Denso-built) rotary injection pump</t>
        </is>
      </c>
      <c r="C47" s="20" t="inlineStr">
        <is>
          <t>Verified 24 Jun 2026 (R20)</t>
        </is>
      </c>
      <c r="D47" s="20" t="inlineStr">
        <is>
          <t>LC76_Seal_Gasket_Atlas.html — canonical form already present in live repo at HEAD 9b229c3 (l.740); naming edit committed outside a logged session. Denso=1 / Bosch VE=1; masthead 24 Jun 2026.</t>
        </is>
      </c>
      <c r="E47" s="20" t="inlineStr">
        <is>
          <t>R20 pump naming verified canonical — completes 5/5 TA-036 scope (R4/R24/R27/R31/R20). TA-036 CLOSED.</t>
        </is>
      </c>
    </row>
    <row r="48">
      <c r="A48" s="20" t="inlineStr">
        <is>
          <t>Injection-pump calibration currency — R31 (Upgrade Assessment)</t>
        </is>
      </c>
      <c r="B48" s="20" t="inlineStr">
        <is>
          <t>Bench-recalibrated by Udel, Jun 2026; not dyno re-tested. Last dyno verification Mar 2025 (118 kW / 373 Nm).</t>
        </is>
      </c>
      <c r="C48" s="20" t="inlineStr">
        <is>
          <t>Aligned 24 Jun 2026 (R31)</t>
        </is>
      </c>
      <c r="D48" s="20" t="inlineStr">
        <is>
          <t>LC76_Upgrade_Assessment.html — 6 refs reworded (L179/185/199/263/283/285/408) from 'Mar 2025 current/dyno-tuned' to Udel Jun 2026 bench-recal + Mar 2025 as last dyno figure. Resolves the TA-036 out-of-scope currency flag (post-TA-030 pump R&amp;R). Turbo rated-output figures (118 kW/373 Nm) at L177/201/226/422 left as-is by design.</t>
        </is>
      </c>
      <c r="E48" s="20" t="inlineStr">
        <is>
          <t>R31 calibration currency aligned to TA-030 pump R&amp;R. Out-of-scope TA-036 flag CLOSED.</t>
        </is>
      </c>
    </row>
    <row r="49">
      <c r="A49" s="20" t="inlineStr">
        <is>
          <t>Injection-pump naming integrity — R21 (Turbo Operations) LDA card</t>
        </is>
      </c>
      <c r="B49" s="20" t="inlineStr">
        <is>
          <t>Bosch VE (Denso-built) rotary injection pump</t>
        </is>
      </c>
      <c r="C49" s="20" t="inlineStr">
        <is>
          <t>Verified 24 Jun 2026 (R21)</t>
        </is>
      </c>
      <c r="D49" s="20" t="inlineStr">
        <is>
          <t>New 'How the boost compensator (LDA) works' card added to R21. Owner-supplied source text used wrong form 'Denso VE' (x1) and inline-pump phrasing 'increasing the plunger's stroke'; both corrected on integration to canonical Bosch VE (Denso-built) and to VE control-collar / spill-timing wording. Post-insert: Denso VE=0, Bosch VE (Denso-built)=2.</t>
        </is>
      </c>
      <c r="E49" s="20" t="inlineStr">
        <is>
          <t>TA-036 canonical naming actively upheld on incoming content; no defect introduced.</t>
        </is>
      </c>
    </row>
    <row r="50">
      <c r="A50" s="20" t="inlineStr">
        <is>
          <t>Fitted electrical stack propagation (post-install audit Jul 2026)</t>
        </is>
      </c>
      <c r="B50" s="20" t="inlineStr">
        <is>
          <t>Enertec Power+ 210Ah LiFePO4 + Victron Orion Smart 50A (~40A cap) / MultiPlus 12/500 / SmartSolar 100/30 / SmartShunt 500A / BatteryProtect 65A / Safety Hub 150; Willard 650 crank</t>
        </is>
      </c>
      <c r="C50" s="20" t="inlineStr">
        <is>
          <t>DIVERGENT — 9 docs stale (audit F18–F27)</t>
        </is>
      </c>
      <c r="D50" s="20" t="inlineStr">
        <is>
          <t>Stale-as-current: R32 (Cyrix×8, BM2000×8, DEFA×5), R23 (pre-quote spec + broken R6 link), R2, R11, R27, R16, R35, Service Checklist, R1 (DEFA row), LiFePO4 Calculator (R33 link, 300Ah/23A defaults). Converted &amp; verified: R5, R7, R26, R30, index, Facts, register, sw.js v9. Exempt-historical: R8 ledger, Facts HISTORICAL block.</t>
        </is>
      </c>
      <c r="E50" s="20" t="inlineStr">
        <is>
          <t>F18–F27; remediation RS-1–RS-5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0" min="1" max="1"/>
    <col width="30" customWidth="1" style="20" min="2" max="2"/>
    <col width="12" customWidth="1" style="20" min="3" max="3"/>
    <col width="24" customWidth="1" style="20" min="4" max="4"/>
    <col width="40" customWidth="1" style="20" min="5" max="5"/>
    <col width="6" customWidth="1" style="20" min="6" max="6"/>
    <col width="18" customWidth="1" style="20" min="7" max="7"/>
    <col width="26" customWidth="1" style="20" min="8" max="8"/>
    <col width="6" customWidth="1" style="20" min="9" max="9"/>
    <col width="22" customWidth="1" style="20" min="10" max="10"/>
    <col width="42" customWidth="1" style="20" min="11" max="11"/>
    <col width="8" customWidth="1" style="20" min="12" max="12"/>
  </cols>
  <sheetData>
    <row r="1" ht="15" customHeight="1" s="21">
      <c r="A1" s="31" t="inlineStr">
        <is>
          <t>ID</t>
        </is>
      </c>
      <c r="B1" s="31" t="inlineStr">
        <is>
          <t>File</t>
        </is>
      </c>
      <c r="C1" s="31" t="inlineStr">
        <is>
          <t>R#</t>
        </is>
      </c>
      <c r="D1" s="31" t="inlineStr">
        <is>
          <t>Location</t>
        </is>
      </c>
      <c r="E1" s="31" t="inlineStr">
        <is>
          <t>Assertion</t>
        </is>
      </c>
      <c r="F1" s="31" t="inlineStr">
        <is>
          <t>Risk</t>
        </is>
      </c>
      <c r="G1" s="31" t="inlineStr">
        <is>
          <t>Internal</t>
        </is>
      </c>
      <c r="H1" s="31" t="inlineStr">
        <is>
          <t>External source</t>
        </is>
      </c>
      <c r="I1" s="31" t="inlineStr">
        <is>
          <t>Tier</t>
        </is>
      </c>
      <c r="J1" s="31" t="inlineStr">
        <is>
          <t>Verdict</t>
        </is>
      </c>
      <c r="K1" s="31" t="inlineStr">
        <is>
          <t>Action</t>
        </is>
      </c>
      <c r="L1" s="31" t="inlineStr">
        <is>
          <t>Status</t>
        </is>
      </c>
    </row>
    <row r="2" ht="23.25" customHeight="1" s="21">
      <c r="A2" s="32" t="inlineStr">
        <is>
          <t>TA-000</t>
        </is>
      </c>
      <c r="B2" s="32" t="inlineStr">
        <is>
          <t>LC76_Engine_Training.html via FSM</t>
        </is>
      </c>
      <c r="C2" s="32" t="inlineStr">
        <is>
          <t>R4</t>
        </is>
      </c>
      <c r="D2" s="32" t="inlineStr">
        <is>
          <t>Valve clearance VALUE</t>
        </is>
      </c>
      <c r="E2" s="32" t="inlineStr">
        <is>
          <t>Intake 0.15–0.25 / Exhaust 0.35–0.45 mm (cold)</t>
        </is>
      </c>
      <c r="F2" s="35" t="inlineStr">
        <is>
          <t>M</t>
        </is>
      </c>
      <c r="G2" s="32" t="inlineStr">
        <is>
          <t>Facts holds interval only</t>
        </is>
      </c>
      <c r="H2" s="32" t="inlineStr">
        <is>
          <t>FSM RM617E SS-3 p73</t>
        </is>
      </c>
      <c r="I2" s="32" t="inlineStr">
        <is>
          <t>1</t>
        </is>
      </c>
      <c r="J2" s="33" t="inlineStr">
        <is>
          <t>Confirmed</t>
        </is>
      </c>
      <c r="K2" s="32" t="inlineStr">
        <is>
          <t>Use as canonical spec; ensure R4/R18 cite it verbatim</t>
        </is>
      </c>
      <c r="L2" s="32" t="inlineStr">
        <is>
          <t>Closed</t>
        </is>
      </c>
    </row>
    <row r="3" ht="39" customHeight="1" s="21">
      <c r="A3" s="32" t="inlineStr">
        <is>
          <t>TA-001</t>
        </is>
      </c>
      <c r="B3" s="32" t="inlineStr">
        <is>
          <t>LC76_Engine_Training.html</t>
        </is>
      </c>
      <c r="C3" s="32" t="inlineStr">
        <is>
          <t>R4</t>
        </is>
      </c>
      <c r="D3" s="32" t="inlineStr">
        <is>
          <t>Valve adjustment method &amp; field difficulty</t>
        </is>
      </c>
      <c r="E3" s="32" t="inlineStr">
        <is>
          <t>Claims 'locknut &amp; adjuster screw on each rocker arm' + 'easy field job, basic tools'</t>
        </is>
      </c>
      <c r="F3" s="34" t="inlineStr">
        <is>
          <t>S</t>
        </is>
      </c>
      <c r="G3" s="32" t="inlineStr">
        <is>
          <t>Contradicts FSM</t>
        </is>
      </c>
      <c r="H3" s="32" t="inlineStr">
        <is>
          <t>FSM RM617E SS-3 p73 (shim chart 2.35–3.30mm)</t>
        </is>
      </c>
      <c r="I3" s="32" t="inlineStr">
        <is>
          <t>1</t>
        </is>
      </c>
      <c r="J3" s="36" t="inlineStr">
        <is>
          <t>CONFIRMED (R8 valve table: 6 intakes 0.08→shims)</t>
        </is>
      </c>
      <c r="K3" s="32" t="inlineStr">
        <is>
          <t>Correct to shim-type adjustment; reclassify field difficulty (SST/cam removal). Confirm vs EM valve-clearance procedure page. — CONFIRMED: Udel Jun 2026 adjusted valve clearances with NEW SHIMS (real-world proof the 1HZ is shim-type). R4's 'locknut &amp; adjuster screw on rocker arm' is wrong; fix in R4 pass. | CLOSED 21 Jun 2026 (R4 dedicated session): folded into TA-024. Method corrected in R4 core card — 'locknut &amp; adjuster screw on rocker arm' replaced with shim-over-bucket description; field difficulty reclassified from 'easy field job' to workshop job (cam-out, SST). Subsumed by TA-024 full pass.</t>
        </is>
      </c>
      <c r="L3" s="32" t="inlineStr">
        <is>
          <t>Closed</t>
        </is>
      </c>
    </row>
    <row r="4" ht="34.5" customHeight="1" s="21">
      <c r="A4" s="32" t="inlineStr">
        <is>
          <t>TA-002</t>
        </is>
      </c>
      <c r="B4" s="32" t="inlineStr">
        <is>
          <t>(cross-file)</t>
        </is>
      </c>
      <c r="C4" s="32" t="inlineStr">
        <is>
          <t>R1,R11,R25,R27,R30</t>
        </is>
      </c>
      <c r="D4" s="32" t="inlineStr">
        <is>
          <t>Kerb/payload</t>
        </is>
      </c>
      <c r="E4" s="32" t="inlineStr">
        <is>
          <t>Spread ~2,160 vs ~2,299 kerb; ~551 vs ~690 payload</t>
        </is>
      </c>
      <c r="F4" s="34" t="inlineStr">
        <is>
          <t>HIGH</t>
        </is>
      </c>
      <c r="G4" s="32" t="inlineStr">
        <is>
          <t>Divergent; provisional</t>
        </is>
      </c>
      <c r="H4" s="32" t="inlineStr">
        <is>
          <t>Weighbridge (owner action) — pending || 24 Sep 2026 (working-papers pass, OI-111): DONE — loaded per-axle weighbridge 10 Aug 2026 (E1 slip; Facts §1).</t>
        </is>
      </c>
      <c r="I4" s="32" t="inlineStr">
        <is>
          <t>—</t>
        </is>
      </c>
      <c r="J4" s="34" t="inlineStr">
        <is>
          <t>Unreconciled (=audit F10) || 24 Sep 2026 (working-papers pass, OI-111): Loaded weight MEASURED; the kerb/payload split stays an estimate (a loaded pass cannot isolate unladen weight) and is no longer blocking; the 280 kg overload is owner decision OI-103.</t>
        </is>
      </c>
      <c r="K4" s="32" t="inlineStr">
        <is>
          <t>Weighbridge loaded vehicle (per-axle+GCM); reconcile to one figure; propagate; flag provisional meanwhile || 24 Sep 2026 (working-papers pass, OI-111): CLOSED with RA-1 (OI-1 closed 15 Sep 2026).</t>
        </is>
      </c>
      <c r="L4" s="32" t="inlineStr">
        <is>
          <t>Closed</t>
        </is>
      </c>
    </row>
    <row r="5" ht="23.25" customHeight="1" s="21">
      <c r="A5" s="32" t="inlineStr">
        <is>
          <t>TA-003</t>
        </is>
      </c>
      <c r="B5" s="32" t="inlineStr">
        <is>
          <t>(cross-file)</t>
        </is>
      </c>
      <c r="C5" s="32" t="inlineStr">
        <is>
          <t>R8,R8s,R25</t>
        </is>
      </c>
      <c r="D5" s="32" t="inlineStr">
        <is>
          <t>Km on turbo (derived)</t>
        </is>
      </c>
      <c r="E5" s="32" t="inlineStr">
        <is>
          <t>84,278 / ~86,000 vs canonical 85,594</t>
        </is>
      </c>
      <c r="F5" s="35" t="inlineStr">
        <is>
          <t>M</t>
        </is>
      </c>
      <c r="G5" s="32" t="inlineStr">
        <is>
          <t>Divergent / stale base</t>
        </is>
      </c>
      <c r="H5" s="32" t="inlineStr">
        <is>
          <t>Facts §2 (310,000 base)</t>
        </is>
      </c>
      <c r="I5" s="32" t="inlineStr">
        <is>
          <t>internal</t>
        </is>
      </c>
      <c r="J5" s="32" t="inlineStr">
        <is>
          <t>Divergent</t>
        </is>
      </c>
      <c r="K5" s="32" t="inlineStr">
        <is>
          <t>Service Checklist re-keyed to 85,594 (turbo + same-base coolant). R8 turbo-km DEFERRED to its T4 dedicated pass.  | [R8 T4 pass 21 Jun 2026] R8 turbo/coolant derived km recomputed against canonical 310,412 base: turbo oil-feed/shaft-play 84,278-&gt;86,006, coolant-flush 84,094/~84,000-&gt;86,006 (=310,412-224,406). Supersedes stale 85,594 (310,000 base). CLOSED.</t>
        </is>
      </c>
      <c r="L5" s="35" t="inlineStr">
        <is>
          <t>Closed</t>
        </is>
      </c>
    </row>
    <row r="6" ht="23.25" customHeight="1" s="21">
      <c r="A6" s="32" t="inlineStr">
        <is>
          <t>TA-004</t>
        </is>
      </c>
      <c r="B6" s="32" t="inlineStr">
        <is>
          <t>LC76_Service_History.html</t>
        </is>
      </c>
      <c r="C6" s="32" t="inlineStr">
        <is>
          <t>R8</t>
        </is>
      </c>
      <c r="D6" s="32" t="inlineStr">
        <is>
          <t>'Current Service Status' odo</t>
        </is>
      </c>
      <c r="E6" s="32" t="inlineStr">
        <is>
          <t>Shows 308,248 / 308,500 as current; valve line 'current 308,500'</t>
        </is>
      </c>
      <c r="F6" s="35" t="inlineStr">
        <is>
          <t>M</t>
        </is>
      </c>
      <c r="G6" s="32" t="inlineStr">
        <is>
          <t>Lags canonical</t>
        </is>
      </c>
      <c r="H6" s="32" t="inlineStr">
        <is>
          <t>Facts §2 = 310,000</t>
        </is>
      </c>
      <c r="I6" s="32" t="inlineStr">
        <is>
          <t>internal</t>
        </is>
      </c>
      <c r="J6" s="32" t="inlineStr">
        <is>
          <t>Stale current</t>
        </is>
      </c>
      <c r="K6" s="32" t="inlineStr">
        <is>
          <t>Reconcile in R8 dedicated pass (T4); update current-odo refs only, preserve event mileages  | [R8 T4 pass 21 Jun 2026] Stated-current refs reconciled: 'Current Service Status' header 308,248-&gt;310,412; Last-Service tile 308,248/14-04 -&gt; 310,412/19-06 (Udel = latest ledger service, owner-approved). 34 body event-mileage refs (308,248/308,500) PRESERVED; JSON ledger byte-identical (314 rec / R810,872 tie held); div 223/223, JS OK. CLOSED.  | [Owner revision 21 Jun 2026] Tile relabelled 'Last Routine Service' and reverted to 308,248/14-04 (last routine interval service; Udel overhaul is not routine); 'Current Service Status' header odo suffix removed entirely (de-coupled from any odometer to avoid implying a service @310,412). TA-004 remains CLOSED — stated-current reconciliation stands.</t>
        </is>
      </c>
      <c r="L6" s="32" t="inlineStr">
        <is>
          <t>Closed</t>
        </is>
      </c>
    </row>
    <row r="7" ht="23.25" customHeight="1" s="21">
      <c r="A7" s="32" t="inlineStr">
        <is>
          <t>TA-005</t>
        </is>
      </c>
      <c r="B7" s="32" t="inlineStr">
        <is>
          <t>LC76_Facts.txt</t>
        </is>
      </c>
      <c r="C7" s="32" t="inlineStr">
        <is>
          <t>—</t>
        </is>
      </c>
      <c r="D7" s="32" t="inlineStr">
        <is>
          <t>Front suspension part numbers</t>
        </is>
      </c>
      <c r="E7" s="32" t="inlineStr">
        <is>
          <t>OME 859 coils / N181 shocks absent from Facts §1</t>
        </is>
      </c>
      <c r="F7" s="37" t="inlineStr">
        <is>
          <t>E</t>
        </is>
      </c>
      <c r="G7" s="32" t="inlineStr">
        <is>
          <t>Gap</t>
        </is>
      </c>
      <c r="H7" s="32" t="inlineStr">
        <is>
          <t>Project Instructions / vendor</t>
        </is>
      </c>
      <c r="I7" s="32" t="inlineStr">
        <is>
          <t>2</t>
        </is>
      </c>
      <c r="J7" s="33" t="inlineStr">
        <is>
          <t>Resolved</t>
        </is>
      </c>
      <c r="K7" s="32" t="inlineStr">
        <is>
          <t>Front+rear OME parts added to Facts §1. Part-number external verification folded into R25 pass.</t>
        </is>
      </c>
      <c r="L7" s="36" t="inlineStr">
        <is>
          <t>Closed</t>
        </is>
      </c>
    </row>
    <row r="8" ht="15" customHeight="1" s="21">
      <c r="A8" s="20" t="inlineStr">
        <is>
          <t>TA-006</t>
        </is>
      </c>
      <c r="B8" s="20" t="inlineStr">
        <is>
          <t>LC76_Suspension_Steering_Guide.html</t>
        </is>
      </c>
      <c r="C8" s="20" t="inlineStr">
        <is>
          <t>R25</t>
        </is>
      </c>
      <c r="D8" s="20" t="inlineStr">
        <is>
          <t>Front-shock service age (derived)</t>
        </is>
      </c>
      <c r="E8" s="20" t="inlineStr">
        <is>
          <t>'At 307,000 km ... ~86,000 km' on N181 — stale current base (canonical 310,000 → ~89,000)</t>
        </is>
      </c>
      <c r="F8" s="38" t="inlineStr">
        <is>
          <t>M</t>
        </is>
      </c>
      <c r="G8" s="20" t="inlineStr">
        <is>
          <t>Stale current odo (3 spots: L446/498/721)</t>
        </is>
      </c>
      <c r="H8" s="20" t="inlineStr">
        <is>
          <t>Facts §2 = 310,000 base</t>
        </is>
      </c>
      <c r="I8" s="20" t="inlineStr">
        <is>
          <t>internal</t>
        </is>
      </c>
      <c r="J8" s="39" t="inlineStr">
        <is>
          <t>Resolved</t>
        </is>
      </c>
      <c r="K8" s="20" t="inlineStr">
        <is>
          <t>Re-key 307,000→310,000 and ~86,000→~89,000 in R25 pass (T3); preserve fit event 221,000 km (Apr 2023) — DONE: re-keyed 307,000→310,000 (L446) and ~86,000→~89,000 (L498, L721). Fit event (Apr 2023 @ 221,000 km) preserved. Div balance 556/556, JS clean.</t>
        </is>
      </c>
      <c r="L8" s="27" t="inlineStr">
        <is>
          <t>Closed</t>
        </is>
      </c>
    </row>
    <row r="9" ht="15" customHeight="1" s="21">
      <c r="A9" s="20" t="inlineStr">
        <is>
          <t>TA-007</t>
        </is>
      </c>
      <c r="B9" s="20" t="inlineStr">
        <is>
          <t>LC76_Tyre_Pressure_Calculator.html</t>
        </is>
      </c>
      <c r="C9" s="20" t="inlineStr">
        <is>
          <t>Calc</t>
        </is>
      </c>
      <c r="D9" s="20" t="inlineStr">
        <is>
          <t>Payload model / unit basis</t>
        </is>
      </c>
      <c r="E9" s="20" t="inlineStr">
        <is>
          <t>(a) engine is PSI-native, bar derived &amp; quantised to whole-PSI; house style is bar-primary. (b) comment says 45/55 axle split but code applies front:rear 1.0:1.5 (=40/60) — code is defensibly rear-biased for overland loading; comment understates it. (c) payload ceiling 551 + GVM-warn&gt;500 hard-coded to the LATER kerb estimate.</t>
        </is>
      </c>
      <c r="F9" s="27" t="inlineStr">
        <is>
          <t>A</t>
        </is>
      </c>
      <c r="G9" s="20" t="inlineStr">
        <is>
          <t>Reviewed in full</t>
        </is>
      </c>
      <c r="H9" s="20" t="inlineStr">
        <is>
          <t>Maxxis LT265/70R16 Load E (80psi/1449kg max)</t>
        </is>
      </c>
      <c r="I9" s="20" t="inlineStr">
        <is>
          <t>2</t>
        </is>
      </c>
      <c r="J9" s="39" t="inlineStr">
        <is>
          <t>Sound — advisory only</t>
        </is>
      </c>
      <c r="K9" s="20" t="inlineStr">
        <is>
          <t>(a)/(b) optional clarity edits; (c) revisit ceiling/thresholds post-weighbridge (ties TA-002). State confirmed variant (LT/Load E/80psi) as basis.</t>
        </is>
      </c>
      <c r="L9" s="20" t="inlineStr">
        <is>
          <t>Open (advisory)</t>
        </is>
      </c>
    </row>
    <row r="10" ht="15" customHeight="1" s="21">
      <c r="A10" s="20" t="inlineStr">
        <is>
          <t>TA-008</t>
        </is>
      </c>
      <c r="B10" s="20" t="inlineStr">
        <is>
          <t>LC76_Fuel_Range_Calculator.html + LC76_Trip_Fuel_Planner.html</t>
        </is>
      </c>
      <c r="C10" s="20" t="inlineStr">
        <is>
          <t>Calc</t>
        </is>
      </c>
      <c r="D10" s="20" t="inlineStr">
        <is>
          <t>Consumption model</t>
        </is>
      </c>
      <c r="E10" s="20" t="inlineStr">
        <is>
          <t>Maths sound: range=fuel×kmL, used=dist/kmL correct; caps 145/40/185 = Facts §9; reserve handled; (1−Σpenalties)&gt;0 across slider range. Advisory: (a) AC label '−15%' but code applies ÷1.15 (=−13%); (b) no explicit floor guard on (1−Σpenalties); (c) Trip omits temp/AC/weather that Fuel Range includes — same inputs → different economy; (d) payload divisor differs (Trip /690 vs Tyre calc 551) = F10 spread baked in; (e) terrain→speed map non-monotonic (1.45→12 vs 1.55→30km/h).</t>
        </is>
      </c>
      <c r="F10" s="27" t="inlineStr">
        <is>
          <t>A</t>
        </is>
      </c>
      <c r="G10" s="20" t="inlineStr">
        <is>
          <t>Reviewed in full</t>
        </is>
      </c>
      <c r="H10" s="20" t="inlineStr">
        <is>
          <t>Dimensional check + Facts §9</t>
        </is>
      </c>
      <c r="I10" s="20" t="inlineStr">
        <is>
          <t>internal</t>
        </is>
      </c>
      <c r="J10" s="39" t="inlineStr">
        <is>
          <t>Sound — advisory</t>
        </is>
      </c>
      <c r="K10" s="20" t="inlineStr">
        <is>
          <t>(a) align label/divisor; (b) add Math.max floor; (c) align the two consumption models or document; (d) reconcile payload constant post-weighbridge (TA-002); (e) verify terrain labels.</t>
        </is>
      </c>
      <c r="L10" s="20" t="inlineStr">
        <is>
          <t>Open (advisory)</t>
        </is>
      </c>
    </row>
    <row r="11" ht="15" customHeight="1" s="21">
      <c r="A11" s="20" t="inlineStr">
        <is>
          <t>TA-009</t>
        </is>
      </c>
      <c r="B11" s="20" t="inlineStr">
        <is>
          <t>LC76_Fuel_Log_Analyser.html + LC76_Water_Budget_Calculator.html</t>
        </is>
      </c>
      <c r="C11" s="20" t="inlineStr">
        <is>
          <t>Calc</t>
        </is>
      </c>
      <c r="D11" s="20" t="inlineStr">
        <is>
          <t>Stats / budget maths</t>
        </is>
      </c>
      <c r="E11" s="20" t="inlineStr">
        <is>
          <t>Both sound. Fuel Log: correct full-to-full economy (k=dist/Σlitres), median/mean/pctile correct, non-finite guarded, price-regime segmentation appropriate. Water Budget: avail=current−reserve, autonomy=avail/daily, need=daily×resupply correct; div-by-zero guarded. Advisory: Fuel Log clips economy to 3–11 km/L (drops legitimate extreme sand intervals); Water Budget gap compares need to CURRENT (incl. reserve) while autonomy excludes reserve — mild inconsistency.</t>
        </is>
      </c>
      <c r="F11" s="27" t="inlineStr">
        <is>
          <t>A</t>
        </is>
      </c>
      <c r="G11" s="20" t="inlineStr">
        <is>
          <t>Reviewed in full</t>
        </is>
      </c>
      <c r="H11" s="20" t="inlineStr">
        <is>
          <t>Dimensional check</t>
        </is>
      </c>
      <c r="I11" s="20" t="inlineStr">
        <is>
          <t>internal</t>
        </is>
      </c>
      <c r="J11" s="39" t="inlineStr">
        <is>
          <t>Sound — advisory</t>
        </is>
      </c>
      <c r="K11" s="20" t="inlineStr">
        <is>
          <t>Optional: widen/annotate Fuel Log clip; align gap metric to reserve-respecting basis.</t>
        </is>
      </c>
      <c r="L11" s="20" t="inlineStr">
        <is>
          <t>Open (advisory)</t>
        </is>
      </c>
    </row>
    <row r="12" ht="15" customHeight="1" s="21">
      <c r="A12" s="20" t="inlineStr">
        <is>
          <t>TA-010</t>
        </is>
      </c>
      <c r="B12" s="20" t="inlineStr">
        <is>
          <t>LC76_LiFePO4_Calculator.html</t>
        </is>
      </c>
      <c r="C12" s="20" t="inlineStr">
        <is>
          <t>Calc</t>
        </is>
      </c>
      <c r="D12" s="20" t="inlineStr">
        <is>
          <t>Ah power-budget model</t>
        </is>
      </c>
      <c r="E12" s="20" t="inlineStr">
        <is>
          <t>Sound: usable=cap×DoD×eff, avail=cap×(soc−minSoc)×eff, solAh=W×psh×eff/12, altAh=driveH×A×0.88, net &amp; socEnd clamped, div-by-zero guarded, breakdown labels match formulas. Advisory: (a) default cap 300 Ah ≠ planned 200 Ah (Facts §8); (b) DC-DC 2h×30A×0.88=52.8 Ah vs Facts '~55 Ah/2h' (0.88 derate on an already-rated 30A output); (c) solar ÷12V nominal overstates Ah ~6% vs 12.8V LiFePO4.</t>
        </is>
      </c>
      <c r="F12" s="27" t="inlineStr">
        <is>
          <t>A</t>
        </is>
      </c>
      <c r="G12" s="20" t="inlineStr">
        <is>
          <t>Reviewed in full</t>
        </is>
      </c>
      <c r="H12" s="20" t="inlineStr">
        <is>
          <t>Facts §8 (planned LiFePO4 spec)</t>
        </is>
      </c>
      <c r="I12" s="20" t="inlineStr">
        <is>
          <t>2</t>
        </is>
      </c>
      <c r="J12" s="39" t="inlineStr">
        <is>
          <t>Sound — advisory</t>
        </is>
      </c>
      <c r="K12" s="20" t="inlineStr">
        <is>
          <t>(a) default to 200 Ah to match planned bank; (b)/(c) optional precision tweaks. Subject overlaps deferred electrical set — maths verified, spec ties to Facts §8.</t>
        </is>
      </c>
      <c r="L12" s="20" t="inlineStr">
        <is>
          <t>Open (advisory)</t>
        </is>
      </c>
    </row>
    <row r="13" ht="15" customHeight="1" s="21">
      <c r="A13" s="20" t="inlineStr">
        <is>
          <t>TA-011</t>
        </is>
      </c>
      <c r="B13" s="20" t="inlineStr">
        <is>
          <t>LC76_Brake_System_Guide.html</t>
        </is>
      </c>
      <c r="C13" s="20" t="inlineStr">
        <is>
          <t>R34</t>
        </is>
      </c>
      <c r="D13" s="20" t="inlineStr">
        <is>
          <t>Fluid spec · bleed sequence · LSPV</t>
        </is>
      </c>
      <c r="E13" s="20" t="inlineStr">
        <is>
          <t>Fluid: factory DOT 3, DOT 4 compatible (higher BP), DOT 5 silicone incompatible — CORRECT. Bleed: furthest-from-master principle correct; exact L/R order + LSPV position responsibly deferred to FSM (field practice RR→LR→RF→LF→LSPV; FSM commonly omits LSPV from formal procedure). LSPV correctly identified. GAP: no brake torque figures (caliper/wheel/bleeder) — confirm intentional vs to-fill.</t>
        </is>
      </c>
      <c r="F13" s="40" t="inlineStr">
        <is>
          <t>S</t>
        </is>
      </c>
      <c r="G13" s="20" t="inlineStr">
        <is>
          <t>Consistent w/ Facts §4 (DOT grade absent there)</t>
        </is>
      </c>
      <c r="H13" s="20" t="inlineStr">
        <is>
          <t>Contemporary Toyota / FMVSS 116 (Tier-2); 70-series field practice (Tier-3)</t>
        </is>
      </c>
      <c r="I13" s="20" t="inlineStr">
        <is>
          <t>2</t>
        </is>
      </c>
      <c r="J13" s="39" t="inlineStr">
        <is>
          <t>Sound — no error; Tier-1 lock pending</t>
        </is>
      </c>
      <c r="K13" s="20" t="inlineStr">
        <is>
          <t>Owner: confirm torque-gap intent. Provide RM730E brake-section deep-link URL to lock fluid/bleed at Tier-1.  | [21 Jun 2026] Tier-1 brake source located &amp; validated: RM0584E brake module (RM899E supplement) via toyotamanuals.gitlab.io — LSPV page pulled (70-series FZJ/HZJ 71-79: rear-axle load settings, No.2 shackle set-length 78mm nom / 72-84mm range non-Venezuela, nut torque 12.5 N·m, front-vs-rear pressure-check tables). Owner-uploaded PDF was the 1HZ ENGINE manual (RM617E-family) — wrong scope for brakes (useful for engine re-verify instead). R34 audit: fluid spec (DOT3 factory / DOT4 running, never DOT5) sound; bleed order RR-&gt;LR-&gt;LSPV-&gt;RF-&gt;LF stated &amp; correctly hedged 'confirm vs manual'; LSPV field-level correct; NO torque values present (= the 'torque-gap'). PENDING: owner torque-gap intent (add Tier-1 brake torques vs keep field-level), then lock fluid+bleed at Tier-1 + propose R34 change-spec.  | [CLOSED 21 Jun 2026] Owner decision: keep R34 field-level — NO torque tables (torque-gap intentional). Remaining content verified: LSPV Tier-1-confirmed (RM0584E/RM899E page); fluid spec DOT3 factory/DOT4 running/never-DOT5 correct for 70-series; bleed order RR-&gt;LR-&gt;LSPV-&gt;RF-&gt;LF is standard furthest-first and correctly directs reader to confirm precise sequence vs FSM (right field-level posture). No Tier-1 spec-lock edit made — would conflict with field-level decision. R34 brake page CLOSED.</t>
        </is>
      </c>
      <c r="L13" s="20" t="inlineStr">
        <is>
          <t>Closed</t>
        </is>
      </c>
    </row>
    <row r="14" ht="15" customHeight="1" s="21">
      <c r="A14" s="20" t="inlineStr">
        <is>
          <t>TA-012</t>
        </is>
      </c>
      <c r="B14" s="20" t="inlineStr">
        <is>
          <t>LC76_Health_Hygiene_Guide.html</t>
        </is>
      </c>
      <c r="C14" s="20" t="inlineStr">
        <is>
          <t>R17</t>
        </is>
      </c>
      <c r="D14" s="20" t="inlineStr">
        <is>
          <t>Malaria · TD · food/water · hygiene</t>
        </is>
      </c>
      <c r="E14" s="20" t="inlineStr">
        <is>
          <t>All verified vs CDC/WHO standard: Malarone (1–2d before, daily, 7d after), Doxycycline (28d after, upright 30min), Mefloquine (weekly, 2wk before, psych contraindication); DEET 30%, permethrin; P. falciparum 24–48h; TD self-limiting with ORS, loperamide symptom-only, cipro/azithro for bloody/febrile; 2-hour food rule; tumbu-fly precaution. Defers to treating doctor.</t>
        </is>
      </c>
      <c r="F14" s="40" t="inlineStr">
        <is>
          <t>S</t>
        </is>
      </c>
      <c r="G14" s="20" t="inlineStr">
        <is>
          <t>Consistent</t>
        </is>
      </c>
      <c r="H14" s="20" t="inlineStr">
        <is>
          <t>CDC Yellow Book / WHO malaria prophylaxis standard</t>
        </is>
      </c>
      <c r="I14" s="20" t="inlineStr">
        <is>
          <t>2</t>
        </is>
      </c>
      <c r="J14" s="39" t="inlineStr">
        <is>
          <t>Sound — confirmed</t>
        </is>
      </c>
      <c r="K14" s="20" t="inlineStr">
        <is>
          <t>None. Medically accurate. No edit needed.</t>
        </is>
      </c>
      <c r="L14" s="27" t="inlineStr">
        <is>
          <t>Closed</t>
        </is>
      </c>
    </row>
    <row r="15" ht="15" customHeight="1" s="21">
      <c r="A15" s="20" t="inlineStr">
        <is>
          <t>TA-013</t>
        </is>
      </c>
      <c r="B15" s="20" t="inlineStr">
        <is>
          <t>LC76_Emergency_Procedures_Guide.html</t>
        </is>
      </c>
      <c r="C15" s="20" t="inlineStr">
        <is>
          <t>R10 §5</t>
        </is>
      </c>
      <c r="D15" s="20" t="inlineStr">
        <is>
          <t>Snakebite protocol</t>
        </is>
      </c>
      <c r="E15" s="20" t="inlineStr">
        <is>
          <t>CONFIRMED correct vs African Snakebite Institute: PIB for neurotoxic (mamba/cobra) but NEVER for cytotoxic (adder/spitting cobra) — the critical differential, right. Boomslang haemotoxic + SEPARATE antivenom, right. Spitting-cobra eye irrigation 15–20min, right. Death 30min–8hr, right. Green Mamba 'neurotoxic+cytotoxic/PIB yes' matches ASI. DO-NOT list (no cut/suck/tourniquet/ice/alcohol) correct.</t>
        </is>
      </c>
      <c r="F15" s="40" t="inlineStr">
        <is>
          <t>S</t>
        </is>
      </c>
      <c r="G15" s="20" t="inlineStr">
        <is>
          <t>Consistent</t>
        </is>
      </c>
      <c r="H15" s="20" t="inlineStr">
        <is>
          <t>African Snakebite Institute (Tier-1/2 SA authority)</t>
        </is>
      </c>
      <c r="I15" s="20" t="inlineStr">
        <is>
          <t>1</t>
        </is>
      </c>
      <c r="J15" s="39" t="inlineStr">
        <is>
          <t>Sound — confirmed; additive enhancements only</t>
        </is>
      </c>
      <c r="K15" s="20" t="inlineStr">
        <is>
          <t>Optional adds (not corrections): stiletto/burrowing-asp (no effective FA, antivenom ineffective); note CPR not needed but rescue-breathing is; ideal PIB 50–70 mmHg. NOTE: R10 is large (1661 ln) — §5 done; remaining sections (medical/water/environmental/comms-evac) to complete in R10 dedicated pass.</t>
        </is>
      </c>
      <c r="L15" s="27" t="inlineStr">
        <is>
          <t>Closed (§5)</t>
        </is>
      </c>
    </row>
    <row r="16" ht="15" customHeight="1" s="21">
      <c r="A16" s="20" t="inlineStr">
        <is>
          <t>TA-014</t>
        </is>
      </c>
      <c r="B16" s="20" t="inlineStr">
        <is>
          <t>LC76_Wildlife_Camp_Safety_Guide.html</t>
        </is>
      </c>
      <c r="C16" s="20" t="inlineStr">
        <is>
          <t>R36</t>
        </is>
      </c>
      <c r="D16" s="20" t="inlineStr">
        <is>
          <t>Dangerous-game encounter doctrine</t>
        </is>
      </c>
      <c r="E16" s="20" t="inlineStr">
        <is>
          <t>All 8 species verified vs recognised field guidance: hippo never-between-it-and-water; buffalo dagga-bulls/solid-cover; elephant mock(ears spread/noisy/stops) vs real(ears back/trunk curled/silent/head down) — CONFIRMED across multiple sources; lion never-run/never-crouch; leopard leave-an-exit; black-rhino break-the-line/guided-only; croc routine-task ambush; hyena secure-kit. Encounter card consistent. GPS policy embedded + doc is coordinate-clean.</t>
        </is>
      </c>
      <c r="F16" s="40" t="inlineStr">
        <is>
          <t>S</t>
        </is>
      </c>
      <c r="G16" s="20" t="inlineStr">
        <is>
          <t>Consistent w/ country profiles</t>
        </is>
      </c>
      <c r="H16" s="20" t="inlineStr">
        <is>
          <t>Recognised dangerous-game field guidance (FGASA-referenced; News24/Green Safaris/SANParks-style)</t>
        </is>
      </c>
      <c r="I16" s="20" t="inlineStr">
        <is>
          <t>2</t>
        </is>
      </c>
      <c r="J16" s="39" t="inlineStr">
        <is>
          <t>Sound — confirmed</t>
        </is>
      </c>
      <c r="K16" s="20" t="inlineStr">
        <is>
          <t>Optional add (not correction): note charge-sign reading isn't infallible — give space regardless; elephant poor eyesight → dodge sideways like the rhino tip.</t>
        </is>
      </c>
      <c r="L16" s="27" t="inlineStr">
        <is>
          <t>Closed</t>
        </is>
      </c>
    </row>
    <row r="17" ht="15" customHeight="1" s="21">
      <c r="A17" s="20" t="inlineStr">
        <is>
          <t>TA-015</t>
        </is>
      </c>
      <c r="B17" s="20" t="inlineStr">
        <is>
          <t>LC76_Vehicle_Recovery_Guide.html</t>
        </is>
      </c>
      <c r="C17" s="20" t="inlineStr">
        <is>
          <t>R9</t>
        </is>
      </c>
      <c r="D17" s="20" t="inlineStr">
        <is>
          <t>Recovery equipment ratings &amp; doctrine</t>
        </is>
      </c>
      <c r="E17" s="20" t="inlineStr">
        <is>
          <t>CONFIRMED vs recognised recovery standards: snatch/kinetic strap 8,000 kg MBS = 2.8× GVM (2–3× rule ✓); winch 9,500–12,000 lb (≥1.5× GVM ✓); soft shackle 14,000 kg MBS &gt; strap; bow shackle 4.75t WLL (&gt; 3.5t min); tow-ball prohibition emphatic &amp; accurate (documented fatalities); dampener, rated-points-only, straight-line, bystanders 1.5× away, gloves all correct. Ratings key off GVM 2,850 (plate) — NO F10 dependency.</t>
        </is>
      </c>
      <c r="F17" s="40" t="inlineStr">
        <is>
          <t>S</t>
        </is>
      </c>
      <c r="G17" s="20" t="inlineStr">
        <is>
          <t>Consistent (uses GVM, not kerb)</t>
        </is>
      </c>
      <c r="H17" s="20" t="inlineStr">
        <is>
          <t>RACQ/4x4 Australia/AfMA/CarsGuide/Saber recovery standards</t>
        </is>
      </c>
      <c r="I17" s="20" t="inlineStr">
        <is>
          <t>2</t>
        </is>
      </c>
      <c r="J17" s="39" t="inlineStr">
        <is>
          <t>Sound — confirmed</t>
        </is>
      </c>
      <c r="K17" s="20" t="inlineStr">
        <is>
          <t>Optional add (not correction): never knot two straps (≈50% strength loss) — join with rated/soft shackle.</t>
        </is>
      </c>
      <c r="L17" s="27" t="inlineStr">
        <is>
          <t>Closed</t>
        </is>
      </c>
    </row>
    <row r="18" ht="15" customHeight="1" s="21">
      <c r="A18" s="20" t="inlineStr">
        <is>
          <t>TA-016</t>
        </is>
      </c>
      <c r="B18" s="20" t="inlineStr">
        <is>
          <t>LC76_Security_Fire_Guide.html</t>
        </is>
      </c>
      <c r="C18" s="20" t="inlineStr">
        <is>
          <t>R35</t>
        </is>
      </c>
      <c r="D18" s="20" t="inlineStr">
        <is>
          <t>Fire response · extinguishers · anti-bribery</t>
        </is>
      </c>
      <c r="E18" s="20" t="inlineStr">
        <is>
          <t>CONFIRMED vs recognised fire authorities (RAC/UK Fire Service/Mobil): don't fully open bonnet (oxygen flare) — discharge through gap; ABC/ABE dry powder default, non-conductive; aim at base, short bursts; carry ≥2 (1kg empties fast); isolate batteries for electrical; never gas appliance in closed tent (CO). Security/checkpoint/anti-bribery (paperwork request, never escalate, safety&gt;principle, decoy cash; SA filming legal, varies abroad) aligns with standard travel-security doctrine.</t>
        </is>
      </c>
      <c r="F18" s="40" t="inlineStr">
        <is>
          <t>S</t>
        </is>
      </c>
      <c r="G18" s="20" t="inlineStr">
        <is>
          <t>Consistent</t>
        </is>
      </c>
      <c r="H18" s="20" t="inlineStr">
        <is>
          <t>RAC / UK Fire Service / Mobil / Fire Protection Online (Tier-2)</t>
        </is>
      </c>
      <c r="I18" s="20" t="inlineStr">
        <is>
          <t>2</t>
        </is>
      </c>
      <c r="J18" s="39" t="inlineStr">
        <is>
          <t>Sound — confirmed</t>
        </is>
      </c>
      <c r="K18" s="20" t="inlineStr">
        <is>
          <t>Optional adds: state 'never water on engine/fuel fire' explicitly; add Li-ion (Lith-ex/fire blanket) note at LiFePO4 install (forward-looking, electrical deferred).</t>
        </is>
      </c>
      <c r="L18" s="27" t="inlineStr">
        <is>
          <t>Closed</t>
        </is>
      </c>
    </row>
    <row r="19" ht="15" customHeight="1" s="21">
      <c r="A19" s="20" t="inlineStr">
        <is>
          <t>TA-017</t>
        </is>
      </c>
      <c r="B19" s="20" t="inlineStr">
        <is>
          <t>LC76_Emergency_Procedures_Guide.html</t>
        </is>
      </c>
      <c r="C19" s="20" t="inlineStr">
        <is>
          <t>R10</t>
        </is>
      </c>
      <c r="D19" s="20" t="inlineStr">
        <is>
          <t>Resuscitation protocol coverage / index integrity</t>
        </is>
      </c>
      <c r="E19" s="20" t="inlineStr">
        <is>
          <t>GAP + broken cross-refs. §1 Medical Quick-Index routes 'CPR→§4' and 'drowning→§6', but NEITHER protocol exists in those sections. Choking/airway obstruction absent entirely. Anaphylaxis is on the evacuate-now list and §9 kit carries an EpiPen, but there is NO anaphylaxis treatment protocol. The §9 kit also carries a CPR face shield — tools present, use-protocols missing. (Rest of R10 verified sound: §3 fire consistent w/ R35; §4 bleeding/tourniquet/fractures/head/burns/shock/appendicitis correct &amp; current; §6 heat/cold correct; §7 anti-hydrolock sound; §8 comms tiers correct; §9 kit well-specified; §11 rationing sound.)</t>
        </is>
      </c>
      <c r="F19" s="40" t="inlineStr">
        <is>
          <t>S</t>
        </is>
      </c>
      <c r="G19" s="20" t="inlineStr">
        <is>
          <t>Index promises content §4/§6 don't contain</t>
        </is>
      </c>
      <c r="H19" s="20" t="inlineStr">
        <is>
          <t>Current first-aid standard (CPR 30:2, IM adrenaline, choking back-blows/thrusts)</t>
        </is>
      </c>
      <c r="I19" s="20" t="inlineStr">
        <is>
          <t>2</t>
        </is>
      </c>
      <c r="J19" s="39" t="inlineStr">
        <is>
          <t>Resolved</t>
        </is>
      </c>
      <c r="K19" s="20" t="inlineStr">
        <is>
          <t>DONE: added CPR (30:2, 5–6cm, 100–120), Choking (5+5, CPR if unconscious), Anaphylaxis (IM adrenaline 0.5mg 1:1000 mid-thigh, lie flat/never stand, repeat 5min) to §4; Drowning (5 breaths first, then 30:2, not compression-only, secondary-drowning evac) to §6; §1 index reconciled. All to current Resus Council/ANZCOR/Red Cross standard. div 324/324, JS OK.</t>
        </is>
      </c>
      <c r="L19" s="27" t="inlineStr">
        <is>
          <t>Closed</t>
        </is>
      </c>
    </row>
    <row r="20" ht="15" customHeight="1" s="21">
      <c r="A20" s="20" t="inlineStr">
        <is>
          <t>TA-018</t>
        </is>
      </c>
      <c r="B20" s="20" t="inlineStr">
        <is>
          <t>LC_Service_history_FINAL.xlsx + LC76_Facts.txt + LC76_Service_History.html (R8)</t>
        </is>
      </c>
      <c r="C20" s="20" t="inlineStr">
        <is>
          <t>R8/Facts</t>
        </is>
      </c>
      <c r="D20" s="20" t="inlineStr">
        <is>
          <t>Udel Jun 2026 fuel-injection overhaul UNRECORDED</t>
        </is>
      </c>
      <c r="E20" s="20" t="inlineStr">
        <is>
          <t>CORRECTED: Udel overhaul IS fully recorded in the LIVE repo. R8 (GitHub) = 314 records, R810,872.32, 25 Udel line items summing R36,729.31 (inv 51488/Job 50017; Gov 093500-6070/Pump 196000-6070), per-cylinder valve was/set table, injectors+pump+glow+filter housing+tank clean all logged. Facts.txt updated (latest 310,412; valves resolved). Reconciles to the cent: 289+25=314; R774,143.01+R36,729.31=R810,872.32. My initial 'unrecorded' reading came from STALE project-knowledge copies + stale project xlsx — the fetch-before-edit governance trap. RESIDUAL: (a) xlsx authoritative (project copy) still 289/R774,143 — lags R8 by the 25 Udel rows; (b) R24 Fuel System Guide not yet updated for the overhaul (no 310,412/Udel mention).</t>
        </is>
      </c>
      <c r="F20" s="38" t="inlineStr">
        <is>
          <t>M</t>
        </is>
      </c>
      <c r="G20" s="20" t="inlineStr">
        <is>
          <t>All authoritatives stale/contradictory</t>
        </is>
      </c>
      <c r="H20" s="20" t="inlineStr">
        <is>
          <t>Project brief + memory describe the work; records do not contain it</t>
        </is>
      </c>
      <c r="I20" s="20" t="inlineStr">
        <is>
          <t>internal</t>
        </is>
      </c>
      <c r="J20" s="27" t="inlineStr">
        <is>
          <t>CLOSED — xlsx re-tied, R24 confirmed no-defect</t>
        </is>
      </c>
      <c r="K20" s="20" t="inlineStr">
        <is>
          <t>(a) Append the 25 Udel rows to the xlsx authoritative to re-tie to R8 (314/R810,872.32), OR confirm R8 embedded JSON is now the financial source-of-truth and retire the lagging xlsx. (b) Propagate the overhaul into R24 (pump rebuild + injector recon + new filter housing). NOTE governance: always fetch live before concluding. — RESOLVED: (a) 25 Udel rows appended to LC_Service_history_FINAL.xlsx (2 legacy formula cells in Cost col also converted to static values — lost cached results on resave, caught before finalising). Now 314 records, R810,872.32, ties to R8 embedded ledger to the cent. (b) R24 Fuel System Guide checked — pure system/theory reference, no dated history anywhere, consistently cross-refers to R8 (same pattern as R22/R8 precedent). No defect; no edit needed.</t>
        </is>
      </c>
      <c r="L20" s="27" t="inlineStr">
        <is>
          <t>Closed</t>
        </is>
      </c>
    </row>
    <row r="21">
      <c r="A21" s="20" t="inlineStr">
        <is>
          <t>TA-019</t>
        </is>
      </c>
      <c r="B21" s="20" t="inlineStr">
        <is>
          <t>LC76_Spares_Tools.html</t>
        </is>
      </c>
      <c r="C21" s="20" t="inlineStr">
        <is>
          <t>R3</t>
        </is>
      </c>
      <c r="D21" s="20" t="inlineStr">
        <is>
          <t>Valve-adjust description (shim vs locknut)</t>
        </is>
      </c>
      <c r="E21" s="20" t="inlineStr">
        <is>
          <t>L1323 — 'On the 1HZ, clearance adjustment requires a 12mm spanner on the rocker adjuster and a 12mm on the locknut — both done simultaneously' — same defect as TA-001 in R4. 1HZ is shim-type (confirmed by Udel Jun 2026 12-shim adjustment).</t>
        </is>
      </c>
      <c r="F21" s="41" t="inlineStr">
        <is>
          <t>S</t>
        </is>
      </c>
      <c r="G21" s="20" t="inlineStr">
        <is>
          <t>Contradicts FSM &amp; real shim job</t>
        </is>
      </c>
      <c r="H21" s="20" t="inlineStr">
        <is>
          <t>FSM RM617E SS-3 + Udel Jun 2026 service record</t>
        </is>
      </c>
      <c r="I21" s="20" t="inlineStr">
        <is>
          <t>1</t>
        </is>
      </c>
      <c r="J21" s="29" t="inlineStr">
        <is>
          <t>CONFIRMED defect — FIXED</t>
        </is>
      </c>
      <c r="K21" s="20" t="inlineStr">
        <is>
          <t>FIX in R3 pass (this session): re-write field-note to shim-type description, reclassify difficulty (SST + cam removal). | FIXED — re-wrote field-note: 1HZ shim-type valvetrain (bucket-and-shim, no rocker arms), workshop job (SST + cam-bearing-cap discipline + shim stock), and recorded Udel Jun 2026 12-shim adjustment. (this session)</t>
        </is>
      </c>
      <c r="L21" s="29" t="inlineStr">
        <is>
          <t>Closed</t>
        </is>
      </c>
    </row>
    <row r="22">
      <c r="A22" s="20" t="inlineStr">
        <is>
          <t>TA-020</t>
        </is>
      </c>
      <c r="B22" s="20" t="inlineStr">
        <is>
          <t>LC76_1HZ_Troubleshooting_Guide.html</t>
        </is>
      </c>
      <c r="C22" s="20" t="inlineStr">
        <is>
          <t>R18</t>
        </is>
      </c>
      <c r="D22" s="20" t="inlineStr">
        <is>
          <t>Stale valve-gap + pre-trip pump-rebuild claims (post-Udel)</t>
        </is>
      </c>
      <c r="E22" s="20" t="inlineStr">
        <is>
          <t>Three obsolete claims: (a) L376 symptom-row cause 'Valve clearances overdue, injector rattle'; (b) L563 warn-box 'Valve clearances on this vehicle have NO RECORD at ~310,000 km — critical overdue'; (c) L714 note-box recommending pre-2028 pump rebuild — Udel rebuilt the VE pump Jun 2026.</t>
        </is>
      </c>
      <c r="F22" s="42" t="inlineStr">
        <is>
          <t>M</t>
        </is>
      </c>
      <c r="G22" s="20" t="inlineStr">
        <is>
          <t>All authoritatives already updated (Facts.txt §3 RESOLVED; R8 valve table present)</t>
        </is>
      </c>
      <c r="H22" s="20" t="inlineStr">
        <is>
          <t>LC76_Facts.txt §3; R8 Service History</t>
        </is>
      </c>
      <c r="I22" s="20" t="inlineStr">
        <is>
          <t>internal</t>
        </is>
      </c>
      <c r="J22" s="29" t="inlineStr">
        <is>
          <t>CONFIRMED — three stale propagation points</t>
        </is>
      </c>
      <c r="K22" s="20" t="inlineStr">
        <is>
          <t>FIXED — R18 three surgical edits (this session): (a) ticking row cause → 'Injector rattle, top-end wear (valves SET Jun 2026)'; (b) warn-box → ✓ SET 19 Jun 2026; (c) note-box → ✓ pump rebuilt &amp; calibrated Udel (Gov 093500-6070 / Pump 196000-6070).</t>
        </is>
      </c>
      <c r="L22" s="29" t="inlineStr">
        <is>
          <t>Closed</t>
        </is>
      </c>
    </row>
    <row r="23">
      <c r="A23" s="20" t="inlineStr">
        <is>
          <t>TA-021</t>
        </is>
      </c>
      <c r="B23" s="20" t="inlineStr">
        <is>
          <t>LC76_Bush_Mechanics_Guide.html</t>
        </is>
      </c>
      <c r="C23" s="20" t="inlineStr">
        <is>
          <t>R27</t>
        </is>
      </c>
      <c r="D23" s="20" t="inlineStr">
        <is>
          <t>Stale valve-gap warning (post-Udel)</t>
        </is>
      </c>
      <c r="E23" s="20" t="inlineStr">
        <is>
          <t>L1009 warn-box 'HZJ76R-RKMRS has no valve clearance service on record at ~310,000 km. A bent valve from timing belt failure on top of this service gap…' — valves SET Jun 2026. The crank-seal-protects-timing-belt point itself is still valid (a fresh shim adjustment doesn't make a contaminated belt safe on an interference engine).</t>
        </is>
      </c>
      <c r="F23" s="42" t="inlineStr">
        <is>
          <t>M</t>
        </is>
      </c>
      <c r="G23" s="20" t="inlineStr">
        <is>
          <t>Facts.txt §3 RESOLVED; R8 records adjustment</t>
        </is>
      </c>
      <c r="H23" s="20" t="inlineStr">
        <is>
          <t>LC76_Facts.txt §3; R8</t>
        </is>
      </c>
      <c r="I23" s="20" t="inlineStr">
        <is>
          <t>internal</t>
        </is>
      </c>
      <c r="J23" s="29" t="inlineStr">
        <is>
          <t>CONFIRMED — stale claim, valid surrounding point</t>
        </is>
      </c>
      <c r="K23" s="20" t="inlineStr">
        <is>
          <t>FIXED — re-wrote warn-box: valve adjustment recorded; crank-seal threat to belt remains the active risk on an interference engine. (this session)</t>
        </is>
      </c>
      <c r="L23" s="29" t="inlineStr">
        <is>
          <t>Closed</t>
        </is>
      </c>
    </row>
    <row r="24">
      <c r="A24" s="20" t="inlineStr">
        <is>
          <t>TA-022</t>
        </is>
      </c>
      <c r="B24" s="20" t="inlineStr">
        <is>
          <t>LC76_Cooling_System_Guide.html</t>
        </is>
      </c>
      <c r="C24" s="20" t="inlineStr">
        <is>
          <t>R22</t>
        </is>
      </c>
      <c r="D24" s="20" t="inlineStr">
        <is>
          <t>'~308,500 km' current-odo refs (6 spots)</t>
        </is>
      </c>
      <c r="E24" s="20" t="inlineStr">
        <is>
          <t>Six occurrences of 308,500 km as current odometer (masthead L372; fan-clutch test card L518/L1031; water-pump life narrative L539; thermostat replace card L645). All keyed off Apr 2026 cooling event — current canonical is 310,412 km.</t>
        </is>
      </c>
      <c r="F24" s="42" t="inlineStr">
        <is>
          <t>M</t>
        </is>
      </c>
      <c r="G24" s="20" t="inlineStr">
        <is>
          <t>Lags Facts.txt §2 (310,412)</t>
        </is>
      </c>
      <c r="H24" s="20" t="inlineStr">
        <is>
          <t>Facts §2</t>
        </is>
      </c>
      <c r="I24" s="20" t="inlineStr">
        <is>
          <t>internal</t>
        </is>
      </c>
      <c r="J24" s="41" t="inlineStr">
        <is>
          <t>Stale current</t>
        </is>
      </c>
      <c r="K24" s="20" t="inlineStr">
        <is>
          <t>DEFER to T4 odometer batch (with R8 'Current Service Status' and R8s) — same surgical pattern as R8s re-key. Preserve event mileages (Apr 2026 @ 308,500 Radiator King test stays). — DONE 21 Jun 2026 (T4): 3 current re-keys → 310,412; events preserved.</t>
        </is>
      </c>
      <c r="L24" s="42" t="inlineStr">
        <is>
          <t>Closed</t>
        </is>
      </c>
    </row>
    <row r="25">
      <c r="A25" s="20" t="inlineStr">
        <is>
          <t>TA-023</t>
        </is>
      </c>
      <c r="B25" s="20" t="inlineStr">
        <is>
          <t>LC76_Turbo_Operations_Guide.html</t>
        </is>
      </c>
      <c r="C25" s="20" t="inlineStr">
        <is>
          <t>R21</t>
        </is>
      </c>
      <c r="D25" s="20" t="inlineStr">
        <is>
          <t>Boost-gauge-pending qualifier (now confirmed)</t>
        </is>
      </c>
      <c r="E25" s="20" t="inlineStr">
        <is>
          <t>L399 exhaust note ends 'worth confirming once the boost gauge is verified' — boost confirmed by Udel Jun 2026 at 0.6 bar (8.7 psi), within SAC low-boost envelope. The (7–10 psi) range on L485 spans the confirmed reading and needs no edit.</t>
        </is>
      </c>
      <c r="F25" s="29" t="inlineStr">
        <is>
          <t>E</t>
        </is>
      </c>
      <c r="G25" s="20" t="inlineStr">
        <is>
          <t>Facts.txt confirms 0.6 bar Jun 2026</t>
        </is>
      </c>
      <c r="H25" s="20" t="inlineStr">
        <is>
          <t>Facts §2 / R8 Udel notes</t>
        </is>
      </c>
      <c r="I25" s="20" t="inlineStr">
        <is>
          <t>internal</t>
        </is>
      </c>
      <c r="J25" s="41" t="inlineStr">
        <is>
          <t>Stale qualifier</t>
        </is>
      </c>
      <c r="K25" s="20" t="inlineStr">
        <is>
          <t>FIXED — clause re-keyed to 'boost confirmed by Udel Jun 2026 at 0.6 bar (8.7 psi), within the SAC low-boost envelope.'</t>
        </is>
      </c>
      <c r="L25" s="29" t="inlineStr">
        <is>
          <t>Closed</t>
        </is>
      </c>
    </row>
    <row r="26">
      <c r="A26" s="20" t="inlineStr">
        <is>
          <t>TA-024</t>
        </is>
      </c>
      <c r="B26" s="20" t="inlineStr">
        <is>
          <t>LC76_Engine_Training.html</t>
        </is>
      </c>
      <c r="C26" s="20" t="inlineStr">
        <is>
          <t>R4</t>
        </is>
      </c>
      <c r="D26" s="20" t="inlineStr">
        <is>
          <t>1HZ engine architecture misdescribed as OHV throughout</t>
        </is>
      </c>
      <c r="E26" s="20" t="inlineStr">
        <is>
          <t>R4 describes the 1HZ as OHV (camshaft in block, pushrods, rocker arms) across SIX locations: L314 (TOC '2.3 Push Rods &amp; Rocker Arms'), L593 (Cylinder Head card 'camshaft runs in the block (OHV layout)'), L609-622 (Push Rods &amp; Rocker Arms card — the original TA-001 target), L643 (Valve Cover card 'encloses the rocker arms, rocker shaft, upper ends of the pushrods'), L723 (Camshaft card 'long cast iron shaft running the full length of the block… Unlike overhead cam engines, the 1HZ cam is deep inside the block'), L727 (cam-wear: 'pushrod no longer lifts'). Reality: 1HZ is SOHC, belt-driven OHC, bucket-and-shim valvetrain. Text appears to have been written for the predecessor 2H (which IS OHV+pushrods) and never corrected. TA-001 fix on one card alone would create internal contradictions across the other five locations.</t>
        </is>
      </c>
      <c r="F26" s="41" t="inlineStr">
        <is>
          <t>S</t>
        </is>
      </c>
      <c r="G26" s="20" t="inlineStr">
        <is>
          <t>Contradicts FSM RM617E + Udel Jun 2026 shim job</t>
        </is>
      </c>
      <c r="H26" s="20" t="inlineStr">
        <is>
          <t>FSM RM617E SS-1/SS-3 (1HZ valvetrain); R8 valve-set table (12 shims)</t>
        </is>
      </c>
      <c r="I26" s="20" t="inlineStr">
        <is>
          <t>1</t>
        </is>
      </c>
      <c r="J26" s="41" t="inlineStr">
        <is>
          <t>CONFIRMED — structural defect across R4 (supersedes TA-001 single-card scope) — RESOLVED 21 Jun 2026</t>
        </is>
      </c>
      <c r="K26" s="20" t="inlineStr">
        <is>
          <t>DEFER to dedicated R4 session (B-path agreed): full propose-then-execute pass on all six locations + TOC rename + spec-table row + cam-wear mechanism wording. Original TA-001 stays open as the locknut/method sub-component of this finding. | RESOLVED 21 Jun 2026 (R4 dedicated session): full SOHC reconciliation executed — 16 surgical edits. Full-file sweep found 5 further OHV remnants beyond the brief's 7 targets, which would have left R4 self-contradictory: section-2 desc (L545), core-card glyph (L605), valve-cover loc-pill (L638), camshaft comp-code 'IN-BLOCK OHV/6 LOBES' (L715), camshaft loc-pill 'Inside the engine block' (L718). Two embedded errors in the old text also corrected: clearance values 0.25/0.30 -&gt; 0.15-0.25/0.35-0.45 mm cold, and lobe count 6 -&gt; 12. Core card retitled 'Camshaft, Buckets &amp; Shims'; tip relabelled 'Field Difficulty' (Section 4 approved text used verbatim). Boost-compensator push rod (L1017) correctly left untouched (different component). Validation: div balance held 939/942 (pre-existing -3 is outside scope, flagged to owner separately), JS OK, OHV sweep clean. R4 was the last library doc carrying OHV text — architecture-description cluster now closed library-wide.</t>
        </is>
      </c>
      <c r="L26" s="42" t="inlineStr">
        <is>
          <t>Closed</t>
        </is>
      </c>
    </row>
    <row r="27">
      <c r="A27" s="20" t="inlineStr">
        <is>
          <t>TA-025</t>
        </is>
      </c>
      <c r="B27" s="20" t="inlineStr">
        <is>
          <t>LC76_Pre_Trip_Prep_Protocol.html</t>
        </is>
      </c>
      <c r="C27" s="20" t="inlineStr">
        <is>
          <t>R23</t>
        </is>
      </c>
      <c r="D27" s="20" t="inlineStr">
        <is>
          <t>Udel-superseded powertrain verdicts (valves/injectors/pump) presented as outstanding pre-trip tasks</t>
        </is>
      </c>
      <c r="E27" s="20" t="inlineStr">
        <is>
          <t>R23 commissions valve-set, injector pop-test/recon and pump calibration as FUTURE workshop tasks citing Mar 2025 DupDiesel as latest. All completed by Udel 19 Jun 2026 @ 310,412 km (VE pump rebuild, 6 injectors reconditioned w/ new nozzles, all 12 valves set — first recorded adjustment). Verdicts flipped to done; forward re-tests genericised per supplier rule; Mar 2025 dyno 118 kW/373 Nm preserved as current (Facts §5).</t>
        </is>
      </c>
      <c r="F27" s="41" t="inlineStr">
        <is>
          <t>M</t>
        </is>
      </c>
      <c r="G27" s="20" t="inlineStr">
        <is>
          <t>Facts §2 Udel scope; ledger (pre-Udel) confirms prior state</t>
        </is>
      </c>
      <c r="H27" s="20" t="inlineStr">
        <is>
          <t>LC76_Facts.txt §2/§5; LC_Service_history_FINAL.xlsx</t>
        </is>
      </c>
      <c r="I27" s="20" t="inlineStr">
        <is>
          <t>internal</t>
        </is>
      </c>
      <c r="J27" s="41" t="inlineStr">
        <is>
          <t>Stale (pre-Udel)</t>
        </is>
      </c>
      <c r="K27" s="20" t="inlineStr">
        <is>
          <t>R23 conformance pass 21 Jun 2026 (T4): valve/injector/pump verdicts → Udel Jun 2026; brief-list L1340-1342 marked done.</t>
        </is>
      </c>
      <c r="L27" s="42" t="inlineStr">
        <is>
          <t>Closed</t>
        </is>
      </c>
    </row>
    <row r="28">
      <c r="A28" s="20" t="inlineStr">
        <is>
          <t>TA-026</t>
        </is>
      </c>
      <c r="B28" s="20" t="inlineStr">
        <is>
          <t>LC76_Pre_Trip_Prep_Protocol.html</t>
        </is>
      </c>
      <c r="C28" s="20" t="inlineStr">
        <is>
          <t>R23</t>
        </is>
      </c>
      <c r="D28" s="20" t="inlineStr">
        <is>
          <t>Exhaust valve-clearance spec below authoritative range</t>
        </is>
      </c>
      <c r="E28" s="20" t="inlineStr">
        <is>
          <t>Valve task-spec L740 stated cold 'Inlet 0.20 / Exhaust 0.30 mm'. Exhaust 0.30 sits BELOW authoritative range (Facts: intake 0.15-0.25 / exhaust 0.35-0.45 mm cold, confirmed by Udel shim job). Burnt-valve-relevant if followed. Corrected to 0.15-0.25 / 0.35-0.45.</t>
        </is>
      </c>
      <c r="F28" s="41" t="inlineStr">
        <is>
          <t>S</t>
        </is>
      </c>
      <c r="G28" s="20" t="inlineStr">
        <is>
          <t>Contradicts Facts §2 valve spec</t>
        </is>
      </c>
      <c r="H28" s="20" t="inlineStr">
        <is>
          <t>LC76_Facts.txt §2 (Udel authoritative per owner)</t>
        </is>
      </c>
      <c r="I28" s="20" t="inlineStr">
        <is>
          <t>internal</t>
        </is>
      </c>
      <c r="J28" s="41" t="inlineStr">
        <is>
          <t>Spec error (below range)</t>
        </is>
      </c>
      <c r="K28" s="20" t="inlineStr">
        <is>
          <t>Corrected to authoritative spec 21 Jun 2026 (T4).</t>
        </is>
      </c>
      <c r="L28" s="42" t="inlineStr">
        <is>
          <t>Closed</t>
        </is>
      </c>
    </row>
    <row r="29">
      <c r="A29" s="20" t="inlineStr">
        <is>
          <t>TA-027</t>
        </is>
      </c>
      <c r="B29" s="20" t="inlineStr">
        <is>
          <t>LC76_Pre_Trip_Prep_Protocol.html</t>
        </is>
      </c>
      <c r="C29" s="20" t="inlineStr">
        <is>
          <t>R23</t>
        </is>
      </c>
      <c r="D29" s="20" t="inlineStr">
        <is>
          <t>Timing-belt internal contradiction (no-record vs done Apr 2025)</t>
        </is>
      </c>
      <c r="E29" s="20" t="inlineStr">
        <is>
          <t>Self-contradiction: L503/L690/L1340 state belt 'no service record / unknown history / never replaced / replace before expedition, no exceptions', while L577-580/702-703 + Facts + ledger record belt+tensioner+idler+cover replaced 23 Apr 2025 @ 273,023 km (PW Auto Centre, 6 ledger line-items). 'No-record' lines were wrong; would prompt needless replacement of a ~37,389 km belt on an interference engine.</t>
        </is>
      </c>
      <c r="F29" s="41" t="inlineStr">
        <is>
          <t>S</t>
        </is>
      </c>
      <c r="G29" s="20" t="inlineStr">
        <is>
          <t>Ledger 23 Apr 2025 @ 273,023 cambelt job; Facts §2 cambelt 37,389 km</t>
        </is>
      </c>
      <c r="H29" s="20" t="inlineStr">
        <is>
          <t>LC_Service_history_FINAL.xlsx; LC76_Facts.txt §2</t>
        </is>
      </c>
      <c r="I29" s="20" t="inlineStr">
        <is>
          <t>internal</t>
        </is>
      </c>
      <c r="J29" s="41" t="inlineStr">
        <is>
          <t>Internal contradiction / stale</t>
        </is>
      </c>
      <c r="K29" s="20" t="inlineStr">
        <is>
          <t>L503/L690/L1340 corrected to reflect Apr 2025 replacement 21 Jun 2026 (T4). Surfaced by owner complete-file sweep instruction; belt @273,023 ledger-confirmed.</t>
        </is>
      </c>
      <c r="L29" s="42" t="inlineStr">
        <is>
          <t>Closed</t>
        </is>
      </c>
    </row>
    <row r="30">
      <c r="A30" s="20" t="inlineStr">
        <is>
          <t>TA-028</t>
        </is>
      </c>
      <c r="B30" s="20" t="inlineStr">
        <is>
          <t>LC76_Pre_Trip_Prep_Protocol.html</t>
        </is>
      </c>
      <c r="C30" s="20" t="inlineStr">
        <is>
          <t>R23</t>
        </is>
      </c>
      <c r="D30" s="20" t="inlineStr">
        <is>
          <t>Current-odo + derived-km stale (pre-Udel base); pump brand; fuel-filter status</t>
        </is>
      </c>
      <c r="E30" s="20" t="inlineStr">
        <is>
          <t>Current odo ~310,000 and all derived km-since computed off pre-Udel base. Full-refreshed: current 310,412, turbo 86,006, belt 37,389, fluids 16,463, drivetrain 39,212, glow 38,227. Pump brand 'Denso VE' → 'Bosch VE' (Facts/Udel). Fuel-filter housing renewed Udel Jun 2026 — task marked done. Event mileages (308,248/308,500 Apr 2026) preserved.</t>
        </is>
      </c>
      <c r="F30" s="41" t="inlineStr">
        <is>
          <t>M</t>
        </is>
      </c>
      <c r="G30" s="20" t="inlineStr">
        <is>
          <t>Lags Facts §2 (310,412/86,006)</t>
        </is>
      </c>
      <c r="H30" s="20" t="inlineStr">
        <is>
          <t>LC76_Facts.txt §2</t>
        </is>
      </c>
      <c r="I30" s="20" t="inlineStr">
        <is>
          <t>internal</t>
        </is>
      </c>
      <c r="J30" s="41" t="inlineStr">
        <is>
          <t>Stale current/derived</t>
        </is>
      </c>
      <c r="K30" s="20" t="inlineStr">
        <is>
          <t>R23 full-refresh 21 Jun 2026 (T4, scope-b); div 235/235 held; residual sweep clean; events preserved.</t>
        </is>
      </c>
      <c r="L30" s="42" t="inlineStr">
        <is>
          <t>Closed</t>
        </is>
      </c>
    </row>
    <row r="31">
      <c r="A31" s="20" t="inlineStr">
        <is>
          <t>TA-029</t>
        </is>
      </c>
      <c r="B31" s="20" t="inlineStr">
        <is>
          <t>LC76_Service_Checklist.html</t>
        </is>
      </c>
      <c r="C31" s="20" t="inlineStr">
        <is>
          <t>R8 suppl.</t>
        </is>
      </c>
      <c r="D31" s="20" t="inlineStr">
        <is>
          <t>Checklist pre-Udel turbo/flush base + stale valve item</t>
        </is>
      </c>
      <c r="E31" s="20" t="inlineStr">
        <is>
          <t>Turbo-shaft L216 '~85,594 km' and flush L253 '~85,594 km overdue' off pre-Udel base → 86,006. Valve item L244 'NO RECORD … at 310,000 km' flagged critical/noRecord → flipped to 'Set Jun 2026 @ 310,412 km (Udel, shim-type)'; critical/noRecord flags cleared. Interval anchor LAST_SERVICE_KM=308248 RETAINED (Udel = fuel-injection overhaul, not routine interval service — owner-confirmed).</t>
        </is>
      </c>
      <c r="F31" s="41" t="inlineStr">
        <is>
          <t>M</t>
        </is>
      </c>
      <c r="G31" s="20" t="inlineStr">
        <is>
          <t>Lags Facts §2; owner-confirmed anchor</t>
        </is>
      </c>
      <c r="H31" s="20" t="inlineStr">
        <is>
          <t>LC76_Facts.txt §2</t>
        </is>
      </c>
      <c r="I31" s="20" t="inlineStr">
        <is>
          <t>internal</t>
        </is>
      </c>
      <c r="J31" s="41" t="inlineStr">
        <is>
          <t>Stale (pre-Udel)</t>
        </is>
      </c>
      <c r="K31" s="20" t="inlineStr">
        <is>
          <t>Checklist conformance 21 Jun 2026 (T4); div 42/42, JS OK; events 308,248/308,500 preserved.</t>
        </is>
      </c>
      <c r="L31" s="42" t="inlineStr">
        <is>
          <t>Closed</t>
        </is>
      </c>
    </row>
    <row r="32">
      <c r="A32" s="20" t="inlineStr">
        <is>
          <t>TA-030</t>
        </is>
      </c>
      <c r="B32" s="20" t="inlineStr">
        <is>
          <t>LC76_Service_History.html</t>
        </is>
      </c>
      <c r="C32" s="20" t="inlineStr">
        <is>
          <t>R8</t>
        </is>
      </c>
      <c r="D32" s="20" t="inlineStr">
        <is>
          <t>Glow-plug provenance across R8 (L1043) / R23 (L596/834/835) / Facts §2 (L169)</t>
        </is>
      </c>
      <c r="E32" s="20" t="inlineStr">
        <is>
          <t>Glow-plug service date inconsistent. Live R8 ledger (314-rec; Udel 19 Jun 2026 @ 310,412) carries 'Labour to recondition injectors (incl. glow plugs)' — R&amp;R'd during injector recon — but NO glow-plug parts/test line (unlike Mar 2025 DupDiesel 'Glow plugs test'). Correct reading: last TESTED Mar 2025 (DupDiesel); R&amp;R Jun 2026 (Udel), not re-tested/replaced. R8 'Serviced Jun 2026' overstated; R23/Facts 'Mar 2025' understated. [REVISED 21 Jun: original finding ('R8 mis-attributes to Udel; correct to Mar 2025') rested on the pre-Udel project-copy ledger + Facts scope summary; the live R8 embedded ledger corrected it — fetch-before-conclude.]</t>
        </is>
      </c>
      <c r="F32" s="41" t="inlineStr">
        <is>
          <t>M</t>
        </is>
      </c>
      <c r="G32" s="20" t="inlineStr">
        <is>
          <t>Facts §2; ledger; owner confirmation 21 Jun 2026</t>
        </is>
      </c>
      <c r="H32" s="20" t="inlineStr">
        <is>
          <t>LC76_Facts.txt §2; LC_Service_history_FINAL.xlsx</t>
        </is>
      </c>
      <c r="I32" s="20" t="inlineStr">
        <is>
          <t>internal</t>
        </is>
      </c>
      <c r="J32" s="41" t="inlineStr">
        <is>
          <t>Cross-doc inconsistency</t>
        </is>
      </c>
      <c r="K32" s="20" t="inlineStr">
        <is>
          <t>Harmonised wording 'tested Mar 2025 (DupDiesel); R&amp;R Jun 2026 (Udel), not re-tested' applied to R23 + Facts §2 21 Jun 2026 (T4). R8 interval-tracker L1043 ('Serviced Jun 2026') to be refined to same wording in R8 session.  | [R8 T4 pass 21 Jun 2026] R8 L1043 cell -&gt; 'Tested Mar 2025 @ 272,185km (DupDiesel); R&amp;R Jun 2026 (Udel, injector recon) - not re-tested'; status -&gt; 'Tested Mar 2025; R&amp;R Jun 2026'. L778 narrative parity-appended '(R&amp;R Jun 2026, Udel - not re-tested)'. Now matches R23 + Facts §2. CLOSED.</t>
        </is>
      </c>
      <c r="L32" s="42" t="inlineStr">
        <is>
          <t>Closed</t>
        </is>
      </c>
    </row>
    <row r="33">
      <c r="A33" s="20" t="inlineStr">
        <is>
          <t>TA-031</t>
        </is>
      </c>
      <c r="B33" s="20" t="inlineStr">
        <is>
          <t>LC76_Pre_Trip_Prep_Protocol.html / LC76_Facts.txt</t>
        </is>
      </c>
      <c r="C33" s="20" t="inlineStr">
        <is>
          <t>R23 / Facts</t>
        </is>
      </c>
      <c r="D33" s="20" t="inlineStr">
        <is>
          <t>Diesel-tank Jun 2026 remediation not recorded</t>
        </is>
      </c>
      <c r="E33" s="20" t="inlineStr">
        <is>
          <t>Live R8 ledger records Udel 19 Jun 2026 @ 310,412 'Remove, clean &amp; refit diesel tank (labour) — dropped, flushed, refitted, fuel-contamination remediation' — likely ROOT CAUSE of the overhaul (tank flush + pump rebuild + injector recon + new filter housing). R23 fuel section warned of contamination generically but never recorded the event; Facts §2 listed only the Feb 2024 SAC tank refit.</t>
        </is>
      </c>
      <c r="F33" s="41" t="inlineStr">
        <is>
          <t>M</t>
        </is>
      </c>
      <c r="G33" s="20" t="inlineStr">
        <is>
          <t>Live R8 ledger Udel rows; owner-confirmed</t>
        </is>
      </c>
      <c r="H33" s="20" t="inlineStr">
        <is>
          <t>R8 embedded ledger / LC_Service_history_FINAL.xlsx</t>
        </is>
      </c>
      <c r="I33" s="20" t="inlineStr">
        <is>
          <t>internal</t>
        </is>
      </c>
      <c r="J33" s="41" t="inlineStr">
        <is>
          <t>Omission (remediation event)</t>
        </is>
      </c>
      <c r="K33" s="20" t="inlineStr">
        <is>
          <t>R23 fuel section + Facts §2 updated 21 Jun 2026 (T4) with the Jun 2026 tank remediation; R8 ledger already carries the line (no R8 change).</t>
        </is>
      </c>
      <c r="L33" s="42" t="inlineStr">
        <is>
          <t>Closed</t>
        </is>
      </c>
    </row>
    <row r="34">
      <c r="A34" s="20" t="inlineStr">
        <is>
          <t>TA-032</t>
        </is>
      </c>
      <c r="B34" s="20" t="inlineStr">
        <is>
          <t>LC76_Upgrade_Assessment.html</t>
        </is>
      </c>
      <c r="C34" s="20" t="inlineStr">
        <is>
          <t>R31</t>
        </is>
      </c>
      <c r="D34" s="20" t="inlineStr">
        <is>
          <t>Spec lines (×4 '0.5 bar'; '~7 psi')</t>
        </is>
      </c>
      <c r="E34" s="20" t="inlineStr">
        <is>
          <t>Turbo boost stated 0.5 bar (~7 psi)</t>
        </is>
      </c>
      <c r="F34" s="41" t="inlineStr">
        <is>
          <t>M</t>
        </is>
      </c>
      <c r="G34" s="20" t="inlineStr">
        <is>
          <t>Facts disagrees</t>
        </is>
      </c>
      <c r="H34" s="20" t="inlineStr">
        <is>
          <t>Facts §1/§ — 0.6 bar (~8.7 psi) confirmed Jun 2026 (Udel)</t>
        </is>
      </c>
      <c r="I34" s="20" t="inlineStr">
        <is>
          <t>Tier-1</t>
        </is>
      </c>
      <c r="J34" s="41" t="inlineStr">
        <is>
          <t>STALE — superseded by Jun 2026 measured boost</t>
        </is>
      </c>
      <c r="K34" s="20" t="inlineStr">
        <is>
          <t>T4-remainder R31 pass: 0.5 bar-&gt;0.6 bar, ~7 psi-&gt;~8.7 psi, add 'confirmed Jun 2026' framing. Bar primary unit. NB possible library-wide (R21/R4/R18 may carry 0.5 bar) — out of T4-remainder scope, flag for boost sweep.</t>
        </is>
      </c>
      <c r="L34" s="42" t="inlineStr">
        <is>
          <t>Closed</t>
        </is>
      </c>
    </row>
    <row r="35">
      <c r="A35" s="20" t="inlineStr">
        <is>
          <t>TA-033</t>
        </is>
      </c>
      <c r="B35" s="20" t="inlineStr">
        <is>
          <t>R11 / R28 / R31</t>
        </is>
      </c>
      <c r="C35" s="20" t="inlineStr">
        <is>
          <t>R11,R28,R31</t>
        </is>
      </c>
      <c r="D35" s="20" t="inlineStr">
        <is>
          <t>R11 odo line; R28 masthead; R31 'km on recon' ×2</t>
        </is>
      </c>
      <c r="E35" s="20" t="inlineStr">
        <is>
          <t>R11/R28 '~310,000 km' (current); R31 '~84,000 km on recon' (derived)</t>
        </is>
      </c>
      <c r="F35" s="41" t="inlineStr">
        <is>
          <t>M</t>
        </is>
      </c>
      <c r="G35" s="20" t="inlineStr">
        <is>
          <t>Facts disagrees</t>
        </is>
      </c>
      <c r="H35" s="20" t="inlineStr">
        <is>
          <t>Facts §2 — 310,412 km (19 Jun 2026); turbo recon since = 86,006 (=310,412-224,406)</t>
        </is>
      </c>
      <c r="I35" s="20" t="inlineStr">
        <is>
          <t>Tier-1</t>
        </is>
      </c>
      <c r="J35" s="41" t="inlineStr">
        <is>
          <t>STALE current (A) + derived (D)</t>
        </is>
      </c>
      <c r="K35" s="20" t="inlineStr">
        <is>
          <t>T4-remainder: R11/R28 current-odo 310,000-&gt;310,412 (Type-A); R31 turbo-recon ~84,000-&gt;86,006 (Type-D). SWEEP all 84,000 &amp; classify — R31 'R48,000-R89,000' are RAND costs, PRESERVE. Current vs event vs cost discipline. | R31 derived km-on-recon → 86,006 DONE 22 Jun 2026; R11/R28 current-odo pending. | R11 odo ~310,000→310,412 DONE 22 Jun; R28 masthead pending. | R28 masthead ~310,000→310,412 DONE 22 Jun. ALL THREE DOCS COMPLETE → CLOSED.</t>
        </is>
      </c>
      <c r="L35" s="42" t="inlineStr">
        <is>
          <t>Closed</t>
        </is>
      </c>
    </row>
    <row r="36">
      <c r="A36" s="20" t="inlineStr">
        <is>
          <t>TA-034</t>
        </is>
      </c>
      <c r="B36" s="20" t="inlineStr">
        <is>
          <t>R1/R13/R19/R23/R24/R27</t>
        </is>
      </c>
      <c r="C36" s="20" t="inlineStr">
        <is>
          <t>R1,R13,R19,R23,R24,R27</t>
        </is>
      </c>
      <c r="D36" s="20" t="inlineStr">
        <is>
          <t>Spec / overview / masthead turbo refs</t>
        </is>
      </c>
      <c r="E36" s="20" t="inlineStr">
        <is>
          <t>Turbo shown in spec/overview/masthead with no boost figure — add 0.6 bar (bar-only) for library consistency</t>
        </is>
      </c>
      <c r="F36" s="41" t="inlineStr">
        <is>
          <t>L</t>
        </is>
      </c>
      <c r="G36" s="20" t="inlineStr">
        <is>
          <t>Consistency (no stale 0.5 bar exists anywhere)</t>
        </is>
      </c>
      <c r="H36" s="20" t="inlineStr">
        <is>
          <t>Udel Jun 2026 boost confirmation (0.6 bar)</t>
        </is>
      </c>
      <c r="I36" s="20" t="inlineStr">
        <is>
          <t>—</t>
        </is>
      </c>
      <c r="J36" s="41" t="inlineStr">
        <is>
          <t>Boost-add sweep — add 0.6 bar (bar-only)</t>
        </is>
      </c>
      <c r="K36" s="20" t="inlineStr">
        <is>
          <t>Session 1, 22 Jun 2026 (§5 step 1): R1 row-val -&gt; '0.6 bar · 118 kW / 373 Nm'; R13 drivetrain line -&gt; '...with SAC turbo at 0.6 bar'. R8/R21 already 0.6 bar (reference, untouched). Session 2, 22 Jun 2026 (§5 step 2): R19 vehicle-overview turbo ref -&gt; '...SAC low-boost turbo (0.6 bar)...' (bar-only, folded w/ odo). Session 3, 22 Jun 2026 (§5 step 3): R23 masthead + footer turbo refs -&gt; '...SAC Low-Boost Turbo (0.6 bar)...' (bar-only; masthead folded w/ date Apr-&gt;Jun 2026, footer owner-approved). Session 4, 22 Jun 2026 (§5 step 4): R24 masthead mh-vehicle bar (l.373) -&gt; '...SAC Low-Boost Turbo (0.6 bar)...' (bar-only; sole turbo ref in file, single occurrence; R24 has no date element so no date bump; no odo/derived/event figures present). Session 5, 23 Jun 2026 (§5 step 5): R27 masthead mh-vehicle bar (l.339) -&gt; '...SAC Low-Boost Turbo (0.6 bar)...' (bar-only; sole turbo ref in file, single occurrence; folded w/ odo; no date element so no date bump). Sweep COMPLETE — all boost-adds applied (R1/R13/R19/R23/R24/R27).</t>
        </is>
      </c>
      <c r="L36" s="42" t="inlineStr">
        <is>
          <t>Closed</t>
        </is>
      </c>
    </row>
    <row r="37" s="21">
      <c r="A37" s="20" t="inlineStr">
        <is>
          <t>TA-035</t>
        </is>
      </c>
      <c r="B37" s="20" t="inlineStr">
        <is>
          <t>R19/R20/R23/R27/R34</t>
        </is>
      </c>
      <c r="C37" s="20" t="inlineStr">
        <is>
          <t>R19,R20,R23,R27,R34</t>
        </is>
      </c>
      <c r="D37" s="20" t="inlineStr">
        <is>
          <t>Mastheads (current-odo) + derived turbo-km</t>
        </is>
      </c>
      <c r="E37" s="20" t="inlineStr">
        <is>
          <t>Stale current-odo mastheads ~310,000 -&gt; 310,412 km; stale derived turbo-km ~80,600 -&gt; ~86,006 km</t>
        </is>
      </c>
      <c r="F37" s="41" t="inlineStr">
        <is>
          <t>L</t>
        </is>
      </c>
      <c r="G37" s="20" t="inlineStr">
        <is>
          <t>Current-vs-event-vs-cost discipline</t>
        </is>
      </c>
      <c r="H37" s="20" t="inlineStr">
        <is>
          <t>Odometer read 19 Jun 2026 (310,412); recon base 224,406</t>
        </is>
      </c>
      <c r="I37" s="20" t="inlineStr">
        <is>
          <t>—</t>
        </is>
      </c>
      <c r="J37" s="41" t="inlineStr">
        <is>
          <t>Odo / derived-km propagation</t>
        </is>
      </c>
      <c r="K37" s="20" t="inlineStr">
        <is>
          <t>Session 1, 22 Jun 2026 (§5 step 1): R34 masthead ~310,000-&gt;310,412 (sole occurrence in file; tilde dropped). Session 2, 22 Jun 2026 (§5 step 2): R19 vehicle-overview ~310,000-&gt;310,412 (sole current-odo occurrence; tilde dropped; folded w/ boost-add). Session 3, 22 Jun 2026 (§5 step 3): R23 derived turbo-km ~80,600-&gt;~86,006 (l.1324; lone straggler brought into line w/ ~86,006 at 891/892; event 224,406 preserved; R23 odo 310,412 already current, no odo edit). Session 5, 23 Jun 2026 (§5 step 5): R27 masthead ~310,000-&gt;310,412 (exact; tilde dropped; folded w/ boost-add). Contextual L828/L830 left per policy. Session 6, 23 Jun 2026 (§5 step 6): R20 masthead ~310,000-&gt;310,412 (exact, tilde dropped) + masthead date 04 Jun-&gt;23 Jun; derived turbo-km ~80,600-&gt;~86,006 (l.943, tilde kept, delta 310,412-224,406); footer date April-&gt;June per owner D1; contextual l.348/l.367 left per policy. Sweep COMPLETE — all odo/derived files done (R20 last). Contextual ~310,000 (R18 x5 / R25 / R20 x2 / R27 x2): default LEAVE. R8 310,000 = milestone labels PRESERVE. Events / install-km (38,429) / costs preserved. TA-035 CLOSED — odo/derived sweep complete.</t>
        </is>
      </c>
      <c r="L37" s="42" t="inlineStr">
        <is>
          <t>Closed</t>
        </is>
      </c>
    </row>
    <row r="38" s="21">
      <c r="A38" s="20" t="inlineStr">
        <is>
          <t>TA-036</t>
        </is>
      </c>
      <c r="B38" s="20" t="inlineStr">
        <is>
          <t>R24 / R4 / R27 / R20 / R31</t>
        </is>
      </c>
      <c r="C38" s="20" t="inlineStr">
        <is>
          <t>R24,R4,R27,R20,R31</t>
        </is>
      </c>
      <c r="D38" s="20" t="inlineStr">
        <is>
          <t>Injection-pump glyph/comp-name/comp-code/desc-para/components-table</t>
        </is>
      </c>
      <c r="E38" s="20" t="inlineStr">
        <is>
          <t>1HZ pump mis-described as inline 6-element w/ rack + hedged "Bosch/Denso" — correct to Bosch VE (Denso-built) rotary distributor; canonical naming</t>
        </is>
      </c>
      <c r="F38" s="41" t="inlineStr">
        <is>
          <t>M</t>
        </is>
      </c>
      <c r="G38" s="20" t="inlineStr">
        <is>
          <t>Ledger + R24/R27 agree (VE distributor)</t>
        </is>
      </c>
      <c r="H38" s="20" t="inlineStr">
        <is>
          <t>Toyota parts catalogue + diesel-shop sources; ledger "Bosch VE distributor pump"; Udel Jun 2026 pump rebuild</t>
        </is>
      </c>
      <c r="I38" s="20" t="inlineStr">
        <is>
          <t>Tier-1</t>
        </is>
      </c>
      <c r="J38" s="41" t="inlineStr">
        <is>
          <t>Architecture correction + canonical naming</t>
        </is>
      </c>
      <c r="K38" s="20" t="inlineStr">
        <is>
          <t>Session (R4), 24 Jun 2026: LC76_Engine_Training.html (227 KB, Opus). NAMING: comp-glyph INJECTION·PUMP·(BOSCH/DENSO)-&gt;BOSCH·VE; comp-name -&gt; 'Injection Pump — Bosch VE (Denso-built)' (first readable mention carries Denso-built); td-name (5.3) -&gt; 'Injection Pump — Bosch VE'. ARCHITECTURE CORRECTION (owner-confirmed): 'What It Does' para rewritten from inline 6-element/rack to VE rotary distributor (single plunger rotates+reciprocates; governor-positioned control collar); turbo/boost-compensator sentence preserved. GAP CAUGHT beyond brief's 4 edits: comp-code glyph l.984 '6-ELEMENT MECHANICAL INLINE PUMP...' also corrected -&gt; 'ROTARY DISTRIBUTOR PUMP · SINGLE PLUNGER...' (Edit 5) — without it the corrected name/para would contradict the glyph 2 lines above. l.1042 'six delivery valves' = correct for VE distributor head (6 outlets), left untouched. Denso count reconciled to 1 (comp-name only) per first-mention rule + brief Step 3 target (brief's Edit 3 text redundantly repeated '(Denso-built)' in the para; dropped). div 939/942 UNCHANGED by edit (pre-existing source imbalance — flagged to owner, outside TA-036). No R4 masthead date element (footer 'Rev 3.0' untouched). External verify: Toyota parts catalogue + diesel-shop technical sources confirm 1HZ = Denso VE rotary distributor. SCOPE FLAG: brief header scopes TA-036 = R24/R4/R27; Step 5 closer also lists R20/R31 — reconcile scope with owner before close. R24/R27 (and any R20/R31) Bosch-VE passes still pending. Status OPEN.
Session (R24), 24 Jun 2026: LC76_Fuel_System_Guide.html (96,459-&gt;97,125 B, Opus). Fetched SHA-pinned (main=8a2ca93, past brief's acafe4b); size matched brief 96,459 B. 6 Denso-&gt;Bosch VE corrections: masthead (first mention full 'Bosch VE (Denso-built)'), intro para, flow-node, 'why this matters' box, comp-card head, filtration intro. Denso reconciled 6-&gt;1 (masthead 'Denso-built' only); Bosch VE=7. FIELD NOTE inserted before 'Regional Fuel Quality' sub-head: Jun 2026 @310,412 km full FI overhaul (145L tank drop/flush, Bosch VE bench-rebuild+recal, 6 injectors reconditioned w/ new nozzles+pop-test, filter housing+element renewed R36,729.31, 12 valve clearances set = first recorded); generic supplier per owner decision (named record stays R8/ledger). div 484-&gt;485 (+1 note-box, balanced); JS node --check OK; +666 B. index.html: R24 card-line 'Denso VE'-&gt;'Bosch VE' (Denso=0); header-meta already '24 Jun 2026' (no bump needed); no sw.js bump (content-only). CLOSER NOT TRIGGERED: literal substring presence of R20/R27/R31 in col K = prior R4-session *pending* mentions, NOT completed passes -&gt; must not auto-close on substring match. Actual completed: R4 + R24 only; R27 pass outstanding; R20/R31 scope-dependent. SCOPE GATE (carried from R4 session, still unresolved): live TA-036 col B='R24/R4/R27' (3 files) vs brief Step-5 closer/create-block=5 files (adds R20/R31). Owner to reconcile 3-file vs 5-file scope before close. Status remains OPEN.
Session (R27), 24 Jun 2026: LC76_Bush_Mechanics_Guide.html (130,045-&gt;130,066 B, Opus). Fetched SHA-pinned (main=5fdf6f4, past brief's acafe4b; SHA-pinned vs main byte-identical, no CDN divergence; Denso baseline=3 matched brief). 3 surgical edits: (1) first-mention FULL form 'Denso VE'-&gt;'Bosch VE (Denso-built)' (l.1022); (2) not-to-do note 'Denso VE'-&gt;'Bosch VE' (l.1314, short form); (3) forward-looking action item (l.1027) 'Denso-trained diesel fuel-injection specialist'-&gt;'diesel fuel-injection specialist (VE-pump experience)' — owner-confirmed genericisation per supplier-naming discipline (drops manufacturer-training claim, keeps VE-pump qualification). Denso reconciled 3-&gt;1 (comp para '(Denso-built)' first-mention only); Bosch VE=2. div 815/815; JS node --check OK; +21 B. No R27 date element (date-bump no-op). index.html already 24 Jun 2026 (no bump); no sw.js bump (content-only). SCOPE GATE RESOLVED (owner 'hold', 24 Jun 2026): TA-036 scope amended R24/R4/R27 -&gt; R24/R4/R27/R20/R31 (5-file, per brief Step 5); col B/C updated. Completed: R4+R24+R27. PENDING: R20 (Denso=1) + R31 (Denso=2) Bosch-VE naming pass. Status remains OPEN pending R20/R31.
Session (R31), 24 Jun 2026: LC76_Upgrade_Assessment.html (43,763-&gt;43,777 B, Opus). Fetched SHA-pinned (main=268c31d, past brief's acafe4b; SHA-pinned == main head, byte-identical, no CDN divergence; Denso baseline=2 matched brief). 2 surgical edits: (1) first-mention FULL form 'Denso VE'-&gt;'Bosch VE (Denso-built)' (l.285); (2) ECU-tuning para 'Denso VE'-&gt;'Bosch VE' (l.408, short form). Denso reconciled 2-&gt;1 (l.285 '(Denso-built)' first-mention only); Bosch VE=2. div 136/136; JS node --check OK; +14 B. Masthead 'Last Updated: June 2026' month unchanged (session 24 Jun) -&gt; date-bump no-op per brief Step 3. index.html already 24 Jun 2026 (no bump); no sw.js bump (content-only). CLOSER NOT TRIGGERED: completed passes now R4+R24+R27+R31 (4 of 5); R20 (Denso=1) Bosch-VE naming pass still PENDING — per R24-session caution, substring presence of R20 in col K is a pending mention not a completed pass; do not auto-close. OUT-OF-SCOPE FLAG (not edited): l.285 'Current calibration: Mar 2025, dyno verified 118 kW/373 Nm' + l.408 'specialist dyno tuning (Mar 2025...)' arguably stale after Jun 2026 Udel pump bench-rebuild+recal (cf TA-030 'R&amp;R Jun 2026, not re-tested') — flagged for owner, separate from naming task. Status remains OPEN pending R20.
Session (R20), 24 Jun 2026: LC76_Seal_Gasket_Atlas.html — Bosch-VE naming pass VERIFIED COMPLETE in live repo at HEAD 9b229c3 (committed 24 Jun 2026 14:15Z). Live inspection: first-mention canonical 'Bosch VE (Denso-built) rotary injection pump' present (l.740); Denso=1 (parenthetical only), Bosch VE=1; masthead bumped 'Last updated: 24 June 2026'. PROVENANCE NOTE: R20 naming edit was committed directly to the repo OUTSIDE any logged TA-036 session — no separate R20 edit-session record exists in these papers; completion established by file inspection at HEAD, not by a session log. CLOSER NOW SATISFIED: completed/verified passes = R4 + R24 + R27 + R31 + R20 = 5 of 5 scoped files, all confirmed first-mention canonical. This R20 'Session (Rxx)' line records a verified-complete pass (distinct from earlier substring-presence pending mentions). TA-036 CLOSED.</t>
        </is>
      </c>
      <c r="L38" s="42" t="inlineStr">
        <is>
          <t>Closed</t>
        </is>
      </c>
    </row>
    <row r="39">
      <c r="A39" s="20" t="inlineStr">
        <is>
          <t>TA-037</t>
        </is>
      </c>
      <c r="B39" s="20" t="inlineStr">
        <is>
          <t>LC76_Facts.txt</t>
        </is>
      </c>
      <c r="C39" s="20" t="inlineStr">
        <is>
          <t>—</t>
        </is>
      </c>
      <c r="D39" s="20" t="inlineStr">
        <is>
          <t>§8 electrical / §2 odometer</t>
        </is>
      </c>
      <c r="E39" s="20" t="inlineStr">
        <is>
          <t>LiFePO4 install recorded "July 2026 @ 311,000 km" but §2 current odometer is 310,412 km (19 Jun 2026). If 311,000 is an actual reading at install it supersedes §2 and all current-odometer citations.</t>
        </is>
      </c>
      <c r="F39" s="41" t="inlineStr">
        <is>
          <t>L</t>
        </is>
      </c>
      <c r="G39" s="20" t="inlineStr">
        <is>
          <t>Facts.txt internal inconsistency (audit Jul 2026, HEAD 90f846b0)</t>
        </is>
      </c>
      <c r="H39" s="20" t="inlineStr">
        <is>
          <t>Owner to confirm: reading vs projection</t>
        </is>
      </c>
      <c r="I39" s="20" t="inlineStr">
        <is>
          <t>Owner-gated</t>
        </is>
      </c>
      <c r="J39" s="41" t="inlineStr">
        <is>
          <t>RESOLVED (G1) — actual reading, supersedes</t>
        </is>
      </c>
      <c r="K39" s="20" t="inlineStr">
        <is>
          <t>RS-1 session, 3 Jul 2026 (HEAD 2a9e29d): G1 RESOLVED — 311,000 km confirmed ACTUAL reading at LiFePO4 install (Jul 2026); supersedes 310,412 (19 Jun) as current odometer. Census-first sweep at HEAD across all 54 files. Facts.txt §2 updated: current odo -&gt; 311,000 (read Jul 2026 at LiFePO4 install); derived km-since recomputed (turbo ~86,594; cambelt 37,977; clutch ~14,500; gearbox 39,800; injectors/pump ~588 — '0 km' no longer literal); §8 now agrees with §2. Propagated current-odo to: R19 masthead, R34 masthead, R27 masthead, R22 masthead + 2 in-text current-odo ('any original water pump' / thermostat), R28 masthead, R11 odometer cell, R20 masthead (+ date 24 Jun-&gt;3 Jul), R23 (13 edits: reference tag, belt derived 37,977, lift-pump line, coolant 17,051, gearbox/transfer/diffs/UJs/bearings 39,800, brake fluid 17,051, '0 km since recon/rebuild' -&gt; ~588, footer ~311,000 + Jul 2026), R8 Current-Odometer tile 311,000km + tyre derived 45,684-&gt;46,272 (Set 4 on-set, fit base 264,728). HISTORICAL preserved: all Udel @310,412 event citations (R18 x3, R4, R24, R8s, R3, R27 L1009, R23 x9, Facts), exhaust 309,968, recon 224,406, ledger. Next-service ~315,000 unchanged. Audit HTMLs untouched (point-in-time). Project_Instructions.txt (owner-maintained) still cites 310,412 — revised block offered to owner. NOTE: LiFePO4 install (Manjaro) has no R8/ledger entry — Facts §8 is its record; ledger addition is an owner call. Validation: div balance OK all 12 edited HTML, JS node --check OK, residual 310,412 = historical-only. TA-037 CLOSED.</t>
        </is>
      </c>
      <c r="L39" s="20" t="inlineStr">
        <is>
          <t>Closed</t>
        </is>
      </c>
    </row>
    <row r="40">
      <c r="A40" s="20" t="inlineStr">
        <is>
          <t>TA-038</t>
        </is>
      </c>
      <c r="B40" s="20" t="inlineStr">
        <is>
          <t>LC76_Bush_Mechanics_Guide.html</t>
        </is>
      </c>
      <c r="C40" s="20" t="inlineStr">
        <is>
          <t>R27</t>
        </is>
      </c>
      <c r="D40" s="20" t="inlineStr">
        <is>
          <t>Jack/stand equipment spec</t>
        </is>
      </c>
      <c r="E40" s="20" t="inlineStr">
        <is>
          <t>Jack &amp; axle-stand minimum rating "2,160 kg" pegged to superseded kerb estimate; kerb possibly ~2,299 kg (both provisional pending weighbridge, TA-002). Recommend spec ≥2.5t rated equipment.</t>
        </is>
      </c>
      <c r="F40" s="41" t="inlineStr">
        <is>
          <t>M</t>
        </is>
      </c>
      <c r="G40" s="20" t="inlineStr">
        <is>
          <t>R27 vs Packing Guide kerb figures</t>
        </is>
      </c>
      <c r="H40" s="20" t="inlineStr">
        <is>
          <t>Weighbridge pending (TA-002)</t>
        </is>
      </c>
      <c r="I40" s="20" t="inlineStr">
        <is>
          <t>Owner-gated</t>
        </is>
      </c>
      <c r="J40" s="41" t="inlineStr">
        <is>
          <t>Closed</t>
        </is>
      </c>
      <c r="K40" s="20" t="inlineStr">
        <is>
          <t>RS-1 session, 3 Jul 2026: G2 RESOLVED by owner — jack/axle-stand minimum revised to &gt;=2.5 t rated equipment, with provisional-kerb caveat (~2,299 kg, weighbridge pending TA-002). Execution scheduled in RS-3 (R27 dedicated session, 130 KB). Status remains Open until R27 edit lands. || RS-3 session, 3 Jul 2026: EXECUTED — R27 checklist item 12 revised to '&gt;=2.5 t, inspected' with provisional-kerb caveat (~2,299 kg, weighbridge pending). TA-038 CLOSED. || 24 Sep 2026 (working-papers pass, OI-111): Status cell was blank; set to Closed to match the verdict (hygiene only; noted on OI-65).</t>
        </is>
      </c>
      <c r="L40" s="20" t="inlineStr">
        <is>
          <t>Closed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0" min="1" max="1"/>
    <col width="30" customWidth="1" style="20" min="2" max="2"/>
    <col width="8" customWidth="1" style="20" min="3" max="3"/>
    <col width="28" customWidth="1" style="20" min="4" max="4"/>
    <col width="9" customWidth="1" style="20" min="5" max="5"/>
    <col width="52" customWidth="1" style="20" min="6" max="6"/>
    <col width="14" customWidth="1" style="20" min="7" max="7"/>
    <col width="9" customWidth="1" style="20" min="8" max="8"/>
  </cols>
  <sheetData>
    <row r="1" ht="15" customHeight="1" s="21">
      <c r="A1" s="31" t="inlineStr">
        <is>
          <t>ID</t>
        </is>
      </c>
      <c r="B1" s="31" t="inlineStr">
        <is>
          <t>File</t>
        </is>
      </c>
      <c r="C1" s="31" t="inlineStr">
        <is>
          <t>Pattern</t>
        </is>
      </c>
      <c r="D1" s="31" t="inlineStr">
        <is>
          <t>Check item</t>
        </is>
      </c>
      <c r="E1" s="31" t="inlineStr">
        <is>
          <t>Result</t>
        </is>
      </c>
      <c r="F1" s="31" t="inlineStr">
        <is>
          <t>Defect / note</t>
        </is>
      </c>
      <c r="G1" s="31" t="inlineStr">
        <is>
          <t>Method</t>
        </is>
      </c>
      <c r="H1" s="31" t="inlineStr">
        <is>
          <t>Status</t>
        </is>
      </c>
    </row>
    <row r="2" ht="15" customHeight="1" s="21">
      <c r="A2" s="32" t="inlineStr">
        <is>
          <t>LX-001</t>
        </is>
      </c>
      <c r="B2" s="32" t="inlineStr">
        <is>
          <t>LC76_Design_Guidelines.html</t>
        </is>
      </c>
      <c r="C2" s="32" t="inlineStr">
        <is>
          <t>A</t>
        </is>
      </c>
      <c r="D2" s="32" t="inlineStr">
        <is>
          <t>Version current</t>
        </is>
      </c>
      <c r="E2" s="34" t="inlineStr">
        <is>
          <t>RESOLVED</t>
        </is>
      </c>
      <c r="F2" s="32" t="inlineStr">
        <is>
          <t>Live still v1.2; drafted v1.3 never committed (=F13) | RESOLVED 23 Jun 2026: v1.4 committed (title/masthead/footer, June 2026); v1.3 draft superseded.</t>
        </is>
      </c>
      <c r="G2" s="32" t="inlineStr">
        <is>
          <t>Deterministic</t>
        </is>
      </c>
      <c r="H2" s="32" t="inlineStr">
        <is>
          <t>Closed</t>
        </is>
      </c>
    </row>
    <row r="3" ht="23.25" customHeight="1" s="21">
      <c r="A3" s="32" t="inlineStr">
        <is>
          <t>LX-002</t>
        </is>
      </c>
      <c r="B3" s="32" t="inlineStr">
        <is>
          <t>LC76_Design_Guidelines.html</t>
        </is>
      </c>
      <c r="C3" s="32" t="inlineStr">
        <is>
          <t>A</t>
        </is>
      </c>
      <c r="D3" s="32" t="inlineStr">
        <is>
          <t>Sticky-wrap background slab</t>
        </is>
      </c>
      <c r="E3" s="34" t="inlineStr">
        <is>
          <t>RESOLVED</t>
        </is>
      </c>
      <c r="F3" s="32" t="inlineStr">
        <is>
          <t>No ::before background slab on sticky container — DG's own sticky-bg defect (=F13) | RESOLVED 23 Jun 2026: .sticky-nav-unit given background + ::before 100vh slab (R32 pattern); print suppressed via ::before{content:none}.</t>
        </is>
      </c>
      <c r="G3" s="32" t="inlineStr">
        <is>
          <t>Deterministic</t>
        </is>
      </c>
      <c r="H3" s="32" t="inlineStr">
        <is>
          <t>Closed</t>
        </is>
      </c>
    </row>
    <row r="4" ht="23.25" customHeight="1" s="21">
      <c r="A4" s="32" t="inlineStr">
        <is>
          <t>LX-003</t>
        </is>
      </c>
      <c r="B4" s="32" t="inlineStr">
        <is>
          <t>LC76_Design_Guidelines.html</t>
        </is>
      </c>
      <c r="C4" s="32" t="inlineStr">
        <is>
          <t>A</t>
        </is>
      </c>
      <c r="D4" s="32" t="inlineStr">
        <is>
          <t>overflow-x on html not body</t>
        </is>
      </c>
      <c r="E4" s="35" t="inlineStr">
        <is>
          <t>PASS</t>
        </is>
      </c>
      <c r="F4" s="32" t="inlineStr">
        <is>
          <t>body{overflow-x:hidden} present — confirm live-CSS (defect, breaks Safari sticky) vs documented anti-pattern example | RESOLVED 23 Jun 2026: live CSS confirmed html{overflow-x:hidden} (compliant). The body{overflow-x:hidden} hits are the documented anti-pattern example, not live CSS — false positive. No code change needed.</t>
        </is>
      </c>
      <c r="G4" s="32" t="inlineStr">
        <is>
          <t>Det + read</t>
        </is>
      </c>
      <c r="H4" s="32" t="inlineStr">
        <is>
          <t>Closed</t>
        </is>
      </c>
    </row>
    <row r="5" ht="23.25" customHeight="1" s="21">
      <c r="A5" s="32" t="inlineStr">
        <is>
          <t>LX-004</t>
        </is>
      </c>
      <c r="B5" s="32" t="inlineStr">
        <is>
          <t>LC76_Design_Guidelines.html</t>
        </is>
      </c>
      <c r="C5" s="32" t="inlineStr">
        <is>
          <t>A</t>
        </is>
      </c>
      <c r="D5" s="32" t="inlineStr">
        <is>
          <t>No fixed-px content max-width</t>
        </is>
      </c>
      <c r="E5" s="35" t="inlineStr">
        <is>
          <t>PASS</t>
        </is>
      </c>
      <c r="F5" s="32" t="inlineStr">
        <is>
          <t>False positive (verified 24 Jun 2026). Both max-width:600px hits are the @media mobile breakpoint (l.130) and a &lt;pre&gt; code example (l.550). Content container .content uses max-width:100% + percentage padding; do/don't blocks correctly state the no-fixed-px-cap rule. No defect.</t>
        </is>
      </c>
      <c r="G5" s="32" t="inlineStr">
        <is>
          <t>Det + read</t>
        </is>
      </c>
      <c r="H5" s="32" t="inlineStr">
        <is>
          <t>Closed</t>
        </is>
      </c>
    </row>
    <row r="6" ht="26.25" customHeight="1" s="21">
      <c r="A6" s="32" t="inlineStr">
        <is>
          <t>LX-005</t>
        </is>
      </c>
      <c r="B6" s="32" t="inlineStr">
        <is>
          <t>R26,R32,R33</t>
        </is>
      </c>
      <c r="C6" s="32" t="inlineStr">
        <is>
          <t>A</t>
        </is>
      </c>
      <c r="D6" s="32" t="inlineStr">
        <is>
          <t>Mobile sticky-fix on-device</t>
        </is>
      </c>
      <c r="E6" s="37" t="inlineStr">
        <is>
          <t>CARRIED</t>
        </is>
      </c>
      <c r="F6" s="32" t="inlineStr">
        <is>
          <t>Sticky-fix delivered; on-device PWA verification pending (owner). Promote to DG v1.4 once confirmed. | Owner confirmed on-device PWA pass 21 Jun 2026 (R26/R32/R33 sticky fix). CLOSED. Pattern to be promoted to Design Guidelines v1.4.</t>
        </is>
      </c>
      <c r="G6" s="32" t="inlineStr">
        <is>
          <t>On-device (Neil)</t>
        </is>
      </c>
      <c r="H6" s="32" t="inlineStr">
        <is>
          <t>Closed</t>
        </is>
      </c>
    </row>
    <row r="7" ht="15" customHeight="1" s="21">
      <c r="A7" s="20" t="inlineStr">
        <is>
          <t>LX-006</t>
        </is>
      </c>
      <c r="B7" s="20" t="inlineStr">
        <is>
          <t>LC76_Tyre_Pressure_Calculator.html</t>
        </is>
      </c>
      <c r="C7" s="20" t="inlineStr">
        <is>
          <t>B?</t>
        </is>
      </c>
      <c r="D7" s="20" t="inlineStr">
        <is>
          <t>Calculator palette conformance</t>
        </is>
      </c>
      <c r="E7" s="40" t="inlineStr">
        <is>
          <t>RESOLVED</t>
        </is>
      </c>
      <c r="F7" s="20" t="inlineStr">
        <is>
          <t>Repaletted to warm Pattern-B, 24 Jun 2026. Role-aware remap of ~90 reference-token usages: --amber2-&gt;--clay (hero accent), --amber-&gt;--ochre, --rule-&gt;--border, --steelmd-&gt;--smoke, --paper-&gt;--cream, --paper2-&gt;--white, --steeldk-&gt; --bark (3 surfaces) / --ink (13 text); warm tokens added to :root, --ink/--white warmed. Validated: 0 residual reference-token usages, div 101/101, JS node --check OK. Print header border remapped to --clay to match screen.</t>
        </is>
      </c>
      <c r="G7" s="20" t="inlineStr">
        <is>
          <t>Deterministic</t>
        </is>
      </c>
      <c r="H7" s="20" t="inlineStr">
        <is>
          <t>Closed</t>
        </is>
      </c>
    </row>
    <row r="8" ht="15" customHeight="1" s="21">
      <c r="A8" s="20" t="inlineStr">
        <is>
          <t>LX-007</t>
        </is>
      </c>
      <c r="B8" s="20" t="inlineStr">
        <is>
          <t>All 6 calculators</t>
        </is>
      </c>
      <c r="C8" s="20" t="inlineStr">
        <is>
          <t>B</t>
        </is>
      </c>
      <c r="D8" s="20" t="inlineStr">
        <is>
          <t>Home-pill / index-nav consistency</t>
        </is>
      </c>
      <c r="E8" s="27" t="inlineStr">
        <is>
          <t>RESOLVED</t>
        </is>
      </c>
      <c r="F8" s="20" t="inlineStr">
        <is>
          <t>Owner decision: strip from all. Removed anchor + CSS (base + :hover/:active + comment) from Tyre Pressure, Fuel Log, Water, LiFePO4; Fuel Range &amp; Trip already clean. All 6 now pill-free. JS/div validated.</t>
        </is>
      </c>
      <c r="G8" s="20" t="inlineStr">
        <is>
          <t>Det + decision</t>
        </is>
      </c>
      <c r="H8" s="27" t="inlineStr">
        <is>
          <t>Closed</t>
        </is>
      </c>
    </row>
    <row r="9">
      <c r="A9" s="20" t="inlineStr">
        <is>
          <t>LX-008</t>
        </is>
      </c>
      <c r="B9" s="20" t="inlineStr">
        <is>
          <t>~47 files + Design Guidelines</t>
        </is>
      </c>
      <c r="C9" s="20" t="inlineStr">
        <is>
          <t>B</t>
        </is>
      </c>
      <c r="D9" s="20" t="inlineStr">
        <is>
          <t>v1.4 mobile sticky pattern rollout</t>
        </is>
      </c>
      <c r="E9" s="27" t="inlineStr">
        <is>
          <t>RESOLVED</t>
        </is>
      </c>
      <c r="F9" s="20" t="inlineStr">
        <is>
          <t>Validated pattern (clip+slab+overscroll+safe-area+print guard) present in only 6 files. Guidelines not yet promoted to v1.4; own body-overflow defect outstanding; cites retired R33 ×2.</t>
        </is>
      </c>
      <c r="G9" s="20" t="inlineStr">
        <is>
          <t>Det (matrix, HEAD 90f846b0)</t>
        </is>
      </c>
      <c r="H9" s="27" t="inlineStr">
        <is>
          <t>Closed — RS-9e (F28/F29; R7/Karoo tranche tracked separately under LX-013)</t>
        </is>
      </c>
    </row>
    <row r="10">
      <c r="A10" s="20" t="inlineStr">
        <is>
          <t>LX-009</t>
        </is>
      </c>
      <c r="B10" s="20" t="inlineStr">
        <is>
          <t>R7, R9, R10, Trip Fuel Planner, index</t>
        </is>
      </c>
      <c r="C10" s="20" t="inlineStr">
        <is>
          <t>B</t>
        </is>
      </c>
      <c r="D10" s="20" t="inlineStr">
        <is>
          <t>Fixed-px main-container width caps</t>
        </is>
      </c>
      <c r="E10" s="27" t="inlineStr">
        <is>
          <t>RESOLVED</t>
        </is>
      </c>
      <c r="F10" s="20" t="inlineStr">
        <is>
          <t>Breach of max-width:100% rule: R7 body 1100px, R10 main 1200px, R9 main 1400px, planner .page 1100px, index main 1200px.</t>
        </is>
      </c>
      <c r="G10" s="20" t="inlineStr">
        <is>
          <t>Det</t>
        </is>
      </c>
      <c r="H10" s="27" t="inlineStr">
        <is>
          <t>Closed — RS-6 (F30)</t>
        </is>
      </c>
    </row>
    <row r="11">
      <c r="A11" s="20" t="inlineStr">
        <is>
          <t>LX-010</t>
        </is>
      </c>
      <c r="B11" s="20" t="inlineStr">
        <is>
          <t>R5, R7, Karoo itinerary</t>
        </is>
      </c>
      <c r="C11" s="20" t="inlineStr">
        <is>
          <t>B</t>
        </is>
      </c>
      <c r="D11" s="20" t="inlineStr">
        <is>
          <t>Off-system typography</t>
        </is>
      </c>
      <c r="E11" s="27" t="inlineStr">
        <is>
          <t>RESOLVED</t>
        </is>
      </c>
      <c r="F11" s="20" t="inlineStr">
        <is>
          <t>R5 DM Serif Display + IBM Plex Sans; R7 Playfair ×7; Karoo Playfair+Georgia. R5/R7 inherited pre-system styling through spec-swap sessions.</t>
        </is>
      </c>
      <c r="G11" s="20" t="inlineStr">
        <is>
          <t>Det</t>
        </is>
      </c>
      <c r="H11" s="27" t="inlineStr">
        <is>
          <t>Closed — R7/Karoo RS-6, R5 RS-7 (F31)</t>
        </is>
      </c>
    </row>
    <row r="12">
      <c r="A12" s="20" t="inlineStr">
        <is>
          <t>LX-011</t>
        </is>
      </c>
      <c r="B12" s="20" t="inlineStr">
        <is>
          <t>R4, Zambia profile</t>
        </is>
      </c>
      <c r="C12" s="20" t="inlineStr">
        <is>
          <t>B</t>
        </is>
      </c>
      <c r="D12" s="20" t="inlineStr">
        <is>
          <t>Div balance failures</t>
        </is>
      </c>
      <c r="E12" s="27" t="inlineStr">
        <is>
          <t>RESOLVED</t>
        </is>
      </c>
      <c r="F12" s="20" t="inlineStr">
        <is>
          <t>R4: 939/942 (−3). Zambia: 324/325 (−1). All other files balanced; all inline JS passes node --check.</t>
        </is>
      </c>
      <c r="G12" s="20" t="inlineStr">
        <is>
          <t>Det (gate run, 54 files)</t>
        </is>
      </c>
      <c r="H12" s="27" t="inlineStr">
        <is>
          <t>Closed — R4 RS-10 + Zambia RS-11 (F35)</t>
        </is>
      </c>
    </row>
    <row r="13">
      <c r="A13" s="20" t="inlineStr">
        <is>
          <t>LX-012</t>
        </is>
      </c>
      <c r="B13" s="20" t="inlineStr">
        <is>
          <t>4 calculators + Karoo</t>
        </is>
      </c>
      <c r="C13" s="20" t="inlineStr">
        <is>
          <t>B</t>
        </is>
      </c>
      <c r="D13" s="20" t="inlineStr">
        <is>
          <t>print-color-adjust / safe-area gaps</t>
        </is>
      </c>
      <c r="E13" s="27" t="inlineStr">
        <is>
          <t>RESOLVED</t>
        </is>
      </c>
      <c r="F13" s="20" t="inlineStr">
        <is>
          <t>Fuel Range, LiFePO4, Trip Fuel Planner, Water Budget calculators lack print-color-adjust; Karoo lacks safe-area-inset-top.</t>
        </is>
      </c>
      <c r="G13" s="20" t="inlineStr">
        <is>
          <t>Det</t>
        </is>
      </c>
      <c r="H13" s="27" t="inlineStr">
        <is>
          <t>Closed — RS-6 (F32, F33)</t>
        </is>
      </c>
    </row>
    <row r="14">
      <c r="A14" s="20" t="inlineStr">
        <is>
          <t>LX-013</t>
        </is>
      </c>
      <c r="B14" s="20" t="inlineStr">
        <is>
          <t>R7, Karoo</t>
        </is>
      </c>
      <c r="C14" s="20" t="inlineStr">
        <is>
          <t>B</t>
        </is>
      </c>
      <c r="D14" s="20" t="inlineStr">
        <is>
          <t>Off-system typography (label/body faces)</t>
        </is>
      </c>
      <c r="E14" s="27" t="inlineStr">
        <is>
          <t>RESOLVED</t>
        </is>
      </c>
      <c r="F14" s="20" t="inlineStr">
        <is>
          <t>R7 Nunito Sans body ×3 + JetBrains Mono ×37; Karoo JetBrains Mono ×20 — off design-system list; missed by audit + RS-6. Census 3 Jul: 50/52 files on IBM Plex Mono, R7+Karoo the only outliers.</t>
        </is>
      </c>
      <c r="G14" s="20" t="inlineStr">
        <is>
          <t>Det</t>
        </is>
      </c>
      <c r="H14" s="27" t="inlineStr">
        <is>
          <t>Closed — R7+Karoo restyle+pattern (Opus tranche)</t>
        </is>
      </c>
    </row>
    <row r="15">
      <c r="A15" s="20" t="inlineStr">
        <is>
          <t>LX-014</t>
        </is>
      </c>
      <c r="B15" s="20" t="inlineStr">
        <is>
          <t>Zambia profile</t>
        </is>
      </c>
      <c r="C15" s="20" t="inlineStr">
        <is>
          <t>B</t>
        </is>
      </c>
      <c r="D15" s="20" t="inlineStr">
        <is>
          <t>Tag balance — orphan &lt;/span&gt; (masthead flag)</t>
        </is>
      </c>
      <c r="E15" s="27" t="inlineStr">
        <is>
          <t>RESOLVED</t>
        </is>
      </c>
      <c r="F15" s="20" t="inlineStr">
        <is>
          <t>Orphan &lt;/span&gt; at L271 in .std-eyebrow masthead flag closed nothing (leftover from a removed wrapper); span balance was 147/149. Discovered during RS-11 div bisection. Separate from the L1028 div artifact. Removed orphan; span now 147/147.</t>
        </is>
      </c>
      <c r="G15" s="20" t="inlineStr">
        <is>
          <t>Det</t>
        </is>
      </c>
      <c r="H15" s="27" t="inlineStr">
        <is>
          <t>Closed — RS-11 (discovered in-session)</t>
        </is>
      </c>
    </row>
    <row r="16">
      <c r="A16" s="20" t="inlineStr">
        <is>
          <t>LX-015</t>
        </is>
      </c>
      <c r="B16" s="20" t="inlineStr">
        <is>
          <t>LC76_Emergency_Procedures_Guide.html</t>
        </is>
      </c>
      <c r="C16" s="20" t="inlineStr">
        <is>
          <t>B</t>
        </is>
      </c>
      <c r="D16" s="20" t="inlineStr">
        <is>
          <t>Quick-index content assertion vs actual sections</t>
        </is>
      </c>
      <c r="E16" s="27" t="inlineStr">
        <is>
          <t>RESOLVED</t>
        </is>
      </c>
      <c r="F16" s="20" t="inlineStr">
        <is>
          <t>Medical Quick-Index asserted "Heat, cold, altitude, drowning, lightning -&gt; §6" but hypothermia / altitude / lightning protocols did not exist anywhere in the file (term sweep: 0 / 1 / 1 hits, the index line only). Found in clinical review (senior-EM standard) 8 Jul 2026, finding C1. RESOLVED same session: three protocol cards built (hypothermia incl. cold-arrest CPR exception, altitude, lightning incl. reverse triage) in renumbered §7 Environmental, as part of the R10 clinical remediation (new §4 Road Accident &amp; Rollover, recovery position card, C-ABC doctrine, wound packing, kit upgrades, solo-rescuer CPR rules, per change spec 8 Jul 2026). WFR training target propagated to R37; R17 prescription-list additions deferred to a dedicated pass.</t>
        </is>
      </c>
      <c r="G16" s="20" t="inlineStr">
        <is>
          <t>Det + clinical review</t>
        </is>
      </c>
      <c r="H16" s="27" t="inlineStr">
        <is>
          <t>Closed — R10 clinical remediation (8 Jul 2026)</t>
        </is>
      </c>
    </row>
    <row r="17">
      <c r="A17" s="20" t="inlineStr">
        <is>
          <t>LX-016</t>
        </is>
      </c>
      <c r="B17" s="20" t="inlineStr">
        <is>
          <t>(corpus — all 71 HTML)</t>
        </is>
      </c>
      <c r="C17" s="20" t="inlineStr">
        <is>
          <t>B</t>
        </is>
      </c>
      <c r="D17" s="20" t="inlineStr">
        <is>
          <t>Print standard actually in effect</t>
        </is>
      </c>
      <c r="E17" s="27" t="inlineStr">
        <is>
          <t>DEFECT</t>
        </is>
      </c>
      <c r="F17" s="20" t="inlineStr">
        <is>
          <t>Print blocks set body{font-size:7.5pt}; every size in the library is declared in rem, which resolves against ROOT not body. Depth-aware parse of all 71 files at pinned HEAD ecc9a52: ZERO set root size in print; 1,547 rem font-size declarations in base CSS. Printed output has been at screen size throughout — DG S16 has never taken effect anywhere. Severity split: 52 no/negligible compensating overrides, 9 partial, 9 meaningful, 1 unaffected (affidavit, sizes nothing).</t>
        </is>
      </c>
      <c r="G17" s="20" t="inlineStr">
        <is>
          <t>Depth-aware CSS parse + computed base-vs-print size check on 4 samples</t>
        </is>
      </c>
      <c r="H17" s="27" t="inlineStr">
        <is>
          <t>OPEN — OI-60. Remedy prototyped in LC76_How_To_Use_This_Library.html (root knob in @media print + rem heading overrides compressing the hierarchy). Owner ruled 8pt body 29 Jul 2026 after rejecting 12pt. DG S16 correction must precede propagation.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0" min="1" max="1"/>
    <col width="52" customWidth="1" style="20" min="2" max="2"/>
    <col width="24" customWidth="1" style="20" min="3" max="3"/>
    <col width="60" customWidth="1" style="20" min="4" max="4"/>
    <col width="12" customWidth="1" style="20" min="5" max="5"/>
    <col width="34" customWidth="1" style="20" min="6" max="6"/>
  </cols>
  <sheetData>
    <row r="1" ht="15" customHeight="1" s="21">
      <c r="A1" s="31" t="inlineStr">
        <is>
          <t>Ref</t>
        </is>
      </c>
      <c r="B1" s="31" t="inlineStr">
        <is>
          <t>Source</t>
        </is>
      </c>
      <c r="C1" s="31" t="inlineStr">
        <is>
          <t>Type / Tier</t>
        </is>
      </c>
      <c r="D1" s="31" t="inlineStr">
        <is>
          <t>Locator</t>
        </is>
      </c>
      <c r="E1" s="31" t="inlineStr">
        <is>
          <t>Fetched</t>
        </is>
      </c>
      <c r="F1" s="31" t="inlineStr">
        <is>
          <t>Used for</t>
        </is>
      </c>
    </row>
    <row r="2" ht="23.25" customHeight="1" s="21">
      <c r="A2" s="32" t="inlineStr">
        <is>
          <t>EV-01</t>
        </is>
      </c>
      <c r="B2" s="32" t="inlineStr">
        <is>
          <t>Toyota FSM RM617E — 1HZ/1HD-T/1HD-FTE Engine Repair Manual (Jan 1998)</t>
        </is>
      </c>
      <c r="C2" s="32" t="inlineStr">
        <is>
          <t>Tier 1 — primary (engine)</t>
        </is>
      </c>
      <c r="D2" s="32" t="inlineStr">
        <is>
          <t>Uploaded PDF (scanned). Section map p5; SS-1=PDF p71 (offset 70); SS-3 p73 valve/compression/rpm; SS-8 p78 torque</t>
        </is>
      </c>
      <c r="E2" s="32" t="inlineStr">
        <is>
          <t>18 Jun 2026</t>
        </is>
      </c>
      <c r="F2" s="32" t="inlineStr">
        <is>
          <t>TA-000, TA-001; engine tranche</t>
        </is>
      </c>
    </row>
    <row r="3" ht="23.25" customHeight="1" s="21">
      <c r="A3" s="32" t="inlineStr">
        <is>
          <t>EV-02</t>
        </is>
      </c>
      <c r="B3" s="32" t="inlineStr">
        <is>
          <t>Toyota RM730E 'Land Cruiser (H/T)' via toyotamanuals.gitlab.io/RM0584E</t>
        </is>
      </c>
      <c r="C3" s="32" t="inlineStr">
        <is>
          <t>Tier 1 — primary (chassis)</t>
        </is>
      </c>
      <c r="D3" s="32" t="inlineStr">
        <is>
          <t>Per-section text PDFs, e.g. .../rm730e/m_ss_0016.pdf (suspension/axle torque: hub nut 209 N·m, U-bolt 142 N·m)</t>
        </is>
      </c>
      <c r="E3" s="32" t="inlineStr">
        <is>
          <t>18 Jun 2026</t>
        </is>
      </c>
      <c r="F3" s="32" t="inlineStr">
        <is>
          <t>Chassis specs — R13/R25/R34 (tranche 3/2)</t>
        </is>
      </c>
    </row>
    <row r="4" ht="23.25" customHeight="1" s="21">
      <c r="A4" s="32" t="inlineStr">
        <is>
          <t>EV-03</t>
        </is>
      </c>
      <c r="B4" s="32" t="inlineStr">
        <is>
          <t>Live GitHub repo — Register, Facts.txt, 49 in-scope files</t>
        </is>
      </c>
      <c r="C4" s="32" t="inlineStr">
        <is>
          <t>Internal canonical</t>
        </is>
      </c>
      <c r="D4" s="32" t="inlineStr">
        <is>
          <t>raw.githubusercontent.com/Overlandslabs/Consumption/main</t>
        </is>
      </c>
      <c r="E4" s="32" t="inlineStr">
        <is>
          <t>18 Jun 2026</t>
        </is>
      </c>
      <c r="F4" s="32" t="inlineStr">
        <is>
          <t>Concordance; population/availability check</t>
        </is>
      </c>
    </row>
    <row r="5" ht="23.25" customHeight="1" s="21">
      <c r="A5" s="32" t="inlineStr">
        <is>
          <t>EV-04</t>
        </is>
      </c>
      <c r="B5" s="32" t="inlineStr">
        <is>
          <t>Vendor datasheets (OME/ARB, Maxxis, Victron, Terrain Tamer, SAC, Powerflow)</t>
        </is>
      </c>
      <c r="C5" s="32" t="inlineStr">
        <is>
          <t>Tier 1 — primary (aftermarket)</t>
        </is>
      </c>
      <c r="D5" s="32" t="inlineStr">
        <is>
          <t>To be fetched per assertion</t>
        </is>
      </c>
      <c r="E5" s="32" t="inlineStr">
        <is>
          <t>pending</t>
        </is>
      </c>
      <c r="F5" s="32" t="inlineStr">
        <is>
          <t>Aftermarket-part specs across tranches</t>
        </is>
      </c>
    </row>
    <row r="6" ht="15" customHeight="1" s="21">
      <c r="A6" s="20" t="inlineStr">
        <is>
          <t>EV-05</t>
        </is>
      </c>
      <c r="B6" s="20" t="inlineStr">
        <is>
          <t>Maxxis RAZR AT811 — tyre line data (maxxis.com) + LT265/70R16 load/inflation</t>
        </is>
      </c>
      <c r="C6" s="20" t="inlineStr">
        <is>
          <t>Tier 1 — primary (aftermarket)</t>
        </is>
      </c>
      <c r="D6" s="20" t="inlineStr">
        <is>
          <t>LT265/70R16 121/118S Load E, 80psi/552kPa max, 1,449kg/tyre @80psi (vs 44psi 112T std-load variant)</t>
        </is>
      </c>
      <c r="E6" s="20" t="inlineStr">
        <is>
          <t>19 Jun 2026</t>
        </is>
      </c>
      <c r="F6" s="20" t="inlineStr">
        <is>
          <t>TA-007; tyre-pressure baseline envelope</t>
        </is>
      </c>
    </row>
    <row r="7" ht="15" customHeight="1" s="21">
      <c r="A7" s="20" t="inlineStr">
        <is>
          <t>EV-06</t>
        </is>
      </c>
      <c r="B7" s="20" t="inlineStr">
        <is>
          <t>Toyota brake-fluid spec (FMVSS 116 DOT 3/4) + 70-series LSPV bleed practice</t>
        </is>
      </c>
      <c r="C7" s="20" t="inlineStr">
        <is>
          <t>Tier-2/3 corroborative</t>
        </is>
      </c>
      <c r="D7" s="20" t="inlineStr">
        <is>
          <t>Contemporary Toyota RM brake-fluid page (FJ era) + IH8MUD/YotaTech 70-series bleed threads. RM730E m_br page = Tier-1, NOT yet located via search — needs deep-link.</t>
        </is>
      </c>
      <c r="E7" s="20" t="inlineStr">
        <is>
          <t>19 Jun 2026</t>
        </is>
      </c>
      <c r="F7" s="20" t="inlineStr">
        <is>
          <t>TA-011 (R34 fluid/bleed/LSPV)</t>
        </is>
      </c>
    </row>
    <row r="8" ht="15" customHeight="1" s="21">
      <c r="A8" s="20" t="inlineStr">
        <is>
          <t>EV-07</t>
        </is>
      </c>
      <c r="B8" s="20" t="inlineStr">
        <is>
          <t>African Snakebite Institute (africansnakebiteinstitute.com) + CDC Yellow Book / WHO</t>
        </is>
      </c>
      <c r="C8" s="20" t="inlineStr">
        <is>
          <t>Tier-1/2 — recognised authorities</t>
        </is>
      </c>
      <c r="D8" s="20" t="inlineStr">
        <is>
          <t>ASI first-aid + pressure-immobilisation + Green Mamba pages; CDC/WHO malaria prophylaxis standard</t>
        </is>
      </c>
      <c r="E8" s="20" t="inlineStr">
        <is>
          <t>19 Jun 2026</t>
        </is>
      </c>
      <c r="F8" s="20" t="inlineStr">
        <is>
          <t>TA-012 (R17), TA-013 (R10 §5)</t>
        </is>
      </c>
    </row>
    <row r="9" ht="15" customHeight="1" s="21">
      <c r="A9" s="20" t="inlineStr">
        <is>
          <t>EV-08</t>
        </is>
      </c>
      <c r="B9" s="20" t="inlineStr">
        <is>
          <t>Recognised dangerous-game encounter guidance (FGASA-referenced field-guide sources)</t>
        </is>
      </c>
      <c r="C9" s="20" t="inlineStr">
        <is>
          <t>Tier-2 — recognised</t>
        </is>
      </c>
      <c r="D9" s="20" t="inlineStr">
        <is>
          <t>Elephant mock/real charge signs corroborated across News24, Green Safaris guide, FGASA-referenced material</t>
        </is>
      </c>
      <c r="E9" s="20" t="inlineStr">
        <is>
          <t>19 Jun 2026</t>
        </is>
      </c>
      <c r="F9" s="20" t="inlineStr">
        <is>
          <t>TA-014 (R36)</t>
        </is>
      </c>
    </row>
    <row r="10" ht="15" customHeight="1" s="21">
      <c r="A10" s="20" t="inlineStr">
        <is>
          <t>EV-09</t>
        </is>
      </c>
      <c r="B10" s="20" t="inlineStr">
        <is>
          <t>4x4 recovery standards (RACQ, 4x4 Australia, AfMA, CarsGuide, Saber Offroad)</t>
        </is>
      </c>
      <c r="C10" s="20" t="inlineStr">
        <is>
          <t>Tier-2 — recognised</t>
        </is>
      </c>
      <c r="D10" s="20" t="inlineStr">
        <is>
          <t>Snatch-strap MBS 2–3× GVM; tow-ball shear/projectile fatalities; dampener &amp; rated-point doctrine</t>
        </is>
      </c>
      <c r="E10" s="20" t="inlineStr">
        <is>
          <t>19 Jun 2026</t>
        </is>
      </c>
      <c r="F10" s="20" t="inlineStr">
        <is>
          <t>TA-015 (R9)</t>
        </is>
      </c>
    </row>
    <row r="11" ht="15" customHeight="1" s="21">
      <c r="A11" s="20" t="inlineStr">
        <is>
          <t>EV-10</t>
        </is>
      </c>
      <c r="B11" s="20" t="inlineStr">
        <is>
          <t>Vehicle fire-safety guidance (RAC, UK Fire Service, Mobil, Fire Protection Online)</t>
        </is>
      </c>
      <c r="C11" s="20" t="inlineStr">
        <is>
          <t>Tier-2 — recognised</t>
        </is>
      </c>
      <c r="D11" s="20" t="inlineStr">
        <is>
          <t>Don't-open-bonnet (oxygen), ABC/BC dry-powder for vehicle, aim-at-base, carry two</t>
        </is>
      </c>
      <c r="E11" s="20" t="inlineStr">
        <is>
          <t>19 Jun 2026</t>
        </is>
      </c>
      <c r="F11" s="20" t="inlineStr">
        <is>
          <t>TA-016 (R35)</t>
        </is>
      </c>
    </row>
    <row r="12" ht="15" customHeight="1" s="21">
      <c r="A12" s="20" t="inlineStr">
        <is>
          <t>EV-11</t>
        </is>
      </c>
      <c r="B12" s="20" t="inlineStr">
        <is>
          <t>Resus Council UK / ANZCOR / American Red Cross / AHA resuscitation guidelines</t>
        </is>
      </c>
      <c r="C12" s="20" t="inlineStr">
        <is>
          <t>Tier-1/2 — recognised</t>
        </is>
      </c>
      <c r="D12" s="20" t="inlineStr">
        <is>
          <t>Adult CPR 30:2 5–6cm 100–120; anaphylaxis IM adrenaline 0.5mg 1:1000 thigh, lie flat, repeat 5min; drowning ventilations-first 5 breaths then 30:2; choking 5 back-blows/5 thrusts</t>
        </is>
      </c>
      <c r="E12" s="20" t="inlineStr">
        <is>
          <t>19 Jun 2026</t>
        </is>
      </c>
      <c r="F12" s="20" t="inlineStr">
        <is>
          <t>TA-017 protocol drafting</t>
        </is>
      </c>
    </row>
    <row r="13">
      <c r="A13" s="20" t="inlineStr">
        <is>
          <t>EV-12</t>
        </is>
      </c>
      <c r="B13" s="20" t="inlineStr">
        <is>
          <t>LC_Service_history_FINAL.xlsx + R8 EMBEDDED_SERVICES (both live, SHA 84f738c)</t>
        </is>
      </c>
      <c r="C13" s="20" t="inlineStr">
        <is>
          <t>Reconciliation / ledger append</t>
        </is>
      </c>
      <c r="D13" s="20" t="inlineStr">
        <is>
          <t>Ledger Services A2:A316; R8 embedded array</t>
        </is>
      </c>
      <c r="E13" s="20" t="inlineStr">
        <is>
          <t>2026-07-09</t>
        </is>
      </c>
      <c r="F13" s="20" t="inlineStr">
        <is>
          <t>Record-count reconciliation: verified live count 314 (ledger = embedded, in sync); prior 289 figure stale. Jul 2026 LiFePO4 install appended to BOTH per owner Gate B — date &amp; cost TBC pending Manjaro invoice (quote LC76SW004); count now 315. Upgrade record when invoice to hand.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8" customWidth="1" style="21" min="1" max="1"/>
    <col width="30" customWidth="1" style="21" min="2" max="2"/>
    <col width="54" customWidth="1" style="21" min="3" max="3"/>
    <col width="10" customWidth="1" style="21" min="4" max="4"/>
    <col width="8" customWidth="1" style="21" min="5" max="5"/>
    <col width="60" customWidth="1" style="21" min="6" max="6"/>
  </cols>
  <sheetData>
    <row r="1">
      <c r="A1" s="31" t="inlineStr">
        <is>
          <t>ID</t>
        </is>
      </c>
      <c r="B1" s="31" t="inlineStr">
        <is>
          <t>Session</t>
        </is>
      </c>
      <c r="C1" s="31" t="inlineStr">
        <is>
          <t>Scope</t>
        </is>
      </c>
      <c r="D1" s="31" t="inlineStr">
        <is>
          <t>Status</t>
        </is>
      </c>
      <c r="E1" s="31" t="inlineStr">
        <is>
          <t>Date</t>
        </is>
      </c>
      <c r="F1" s="31" t="inlineStr">
        <is>
          <t>Evidence / Notes</t>
        </is>
      </c>
    </row>
    <row r="2">
      <c r="A2" s="32" t="inlineStr">
        <is>
          <t>EX-1</t>
        </is>
      </c>
      <c r="B2" s="32" t="inlineStr">
        <is>
          <t>R37 Crew Readiness &amp; Training Register</t>
        </is>
      </c>
      <c r="C2" s="32" t="inlineStr">
        <is>
          <t>New interactive checklist/register (R8 Service-Checklist pattern): skills &amp; training log + Mary-Ann cross-training — recovery, medical, vehicle systems (Victron end-to-end), driving sign-offs, comms, two-year training calendar.</t>
        </is>
      </c>
      <c r="D2" s="32" t="inlineStr">
        <is>
          <t>DONE</t>
        </is>
      </c>
      <c r="E2" s="32" t="inlineStr">
        <is>
          <t>4 Jul 2026</t>
        </is>
      </c>
      <c r="F2" s="32" t="inlineStr">
        <is>
          <t>DONE 4 Jul 2026. R37 built (R8 Service-Checklist interactive pattern) — div 187/187, span 102/102, inline JS node --check OK, v1.5 mobile pattern conformant (html triplet, ::before slab, overscroll contain, print static guard, safe-area-inset-top), zero localStorage / off-system fonts. SEED DATA: both crew first-aid UNCERTIFIED (top gap, §7 high); WINCH CONFIRMED + full recovery kit, no hi-lift (recorded Facts §11B); Mary-Ann experienced (solo Tanzania) — genuine gaps Victron LiFePO4 end-to-end / sat-comms / escalation, both crew. Escalation-tree row PENDING R38 (EX-2). Propagated: index.html card (Expedition Preparation); sw.js v9-&gt;v10 + precache (57 entries); Library_Register R37 entry + NEXT AVAILABLE-&gt;R40 (R38/R39 reserved); Facts.txt §11B; R30 files[] R37 object + directory 38-&gt;39 / 32-&gt;33 ref docs / 4 Jul 2026.</t>
        </is>
      </c>
    </row>
    <row r="3">
      <c r="A3" s="32" t="inlineStr">
        <is>
          <t>EX-2</t>
        </is>
      </c>
      <c r="B3" s="32" t="inlineStr">
        <is>
          <t>R38 Expedition Operations Plan</t>
        </is>
      </c>
      <c r="C3" s="32" t="inlineStr">
        <is>
          <t>Comms escalation SOP (check-in cadence + escalation tree); abort/suspend criteria (medical/mechanical/security/financial) + repatriation mechanics; licence-break logistics (skeleton until EX-9); crew governance.</t>
        </is>
      </c>
      <c r="D3" s="32" t="inlineStr">
        <is>
          <t>DONE</t>
        </is>
      </c>
      <c r="E3" s="32" t="inlineStr">
        <is>
          <t>5 Jul 2026</t>
        </is>
      </c>
      <c r="F3" s="32" t="inlineStr">
        <is>
          <t>DONE 5 Jul 2026. R38 built on the R35 prose+TOC v1.5 pattern — div 55/55, paragraphs 19/19, inline JS node --check OK, ids/anchors unique, deep-link section anchors (.sa scroll-margin 150px), v1.5 mobile pattern from birth (html triplet, sticky-wrap ::before slab, overscroll contain, print static guard, safe-area-inset-top), print CSS Section 16, zero localStorage / off-system fonts. DESIGN GATES (owner, recommended defaults): §1 3-day check-in; no-contact +48h anchor works all channels, +72h anchor activates medevac+insurer per R29 with last known position; §2 either crew may SUSPEND on a safety threshold alone, ABORT is joint, unresolved suspend escalates to abort; §5 discretionary-risk veto (either vetoes, both must agree to proceed). Repatriation promoted to its own §3 (Carnet-first; drive-out / ship / secure-storage / lawful-disposal; owner authority M-A West; paperwork detail -&gt; R39). §4 licence-break SKELETON pending EX-9. Contacts &amp; check-in clock = red placeholder fields. PROPAGATED: index.html R38 card + header-meta 5 Jul; sw.js v10-&gt;v11 + precache; Library_Register R38 entry + header R1-R36 -&gt; R1-R38 (also caught EX-1's missed R37 range bump) + forward note (R39 now sole reserved); R30 files[] R38 object with deep-link anchors + directory prose 33-&gt;34 ref docs / 39-&gt;40 files / search-hint 32-&gt;34 (synced, catching EX-1's missed hint bump) / date 5 Jul. OBSERVATIONS: R37 §6 still reads 'escalation tree pending R38' (now built) — optional tidy; count-formula baseline intact at 11 formula occurrences (Summary!B62 is prose that also contains the function name, inflating naive greps). Opus.</t>
        </is>
      </c>
    </row>
    <row r="4">
      <c r="A4" s="32" t="inlineStr">
        <is>
          <t>EX-3</t>
        </is>
      </c>
      <c r="B4" s="32" t="inlineStr">
        <is>
          <t>R39 Expedition Documentation &amp; Money Guide</t>
        </is>
      </c>
      <c r="C4" s="32" t="inlineStr">
        <is>
          <t>Paperwork + money INVENTORY: Carnet de Passages, COMESA yellow card, per-country insurance; vehicle authority (reg. Mary-Ann West) letter/clearance; personal docs (visas/YF/IDP); document redundancy; forex/cash-vs-card strategy.</t>
        </is>
      </c>
      <c r="D4" s="32" t="inlineStr">
        <is>
          <t>DONE</t>
        </is>
      </c>
      <c r="E4" s="32" t="inlineStr">
        <is>
          <t>5 Jul 2026</t>
        </is>
      </c>
      <c r="F4" s="32" t="inlineStr">
        <is>
          <t>DONE 5 Jul 2026. R39 built on the R38 prose+TOC v1.5 pattern (cloned head/JS) — div 75/75, span 113/113, paragraphs 23/23, inline JS node --check OK, 6 section ids/anchors unique + paired to TOC + IntersectionObserver, deep-link anchors (.sa scroll-margin 150px), v1.5 mobile pattern from birth (html triplet, sticky-wrap ::before slab, overscroll contain, print static guard, safe-area-inset-top), print CSS Section 16, zero localStorage / off-system fonts. DECISION GATES (owner, recommended defaults): medevac/insurer of record kept as R29 master via red placeholder fields (not duplicated); Carnet written as a not-yet-started action plan. CONTENT (web-verified currency): §1 Carnet — AASA sole RSA issuer, refundable deposit scaled to declared value, 12-month validity (renewable once) flagged against the split-trip/licence-break clock -&gt; EX-9, entry+exit voucher stamps + missed-stamp liability, Certificate-of-Location discharge; §2 COMESA Yellow Card covers Malawi/Zambia/Zimbabwe/Tanzania/Kenya, Mozambique NOT COMESA (border seguro), third-party only (own-damage/medevac stay R29); §3 vehicle authority = police-certified owner affidavit (reg. M-A West) + certified registration copies, SA licence disk must stay valid abroad; §4 yellow-fever ICVP effectively mandatory because the route includes Kenya (WHO risk country), IDP valid only with the SA licence, visas -&gt; profiles; §5 doc redundancy (originals split + two certified-copy sets + encrypted cloud/offline); §6 forex (two-network cards, clean-USD fallback, concealment split per R35, ATM-desert planning feeding profiles, cash log -&gt; R23). R15 owns border PROCESS, R39 the INVENTORY (no duplication); upgrades the Jun-2026 THIN money grading. PROPAGATED: index.html R39 card (Expedition Preparation); sw.js v11-&gt;v12 + precache (+1 entry); Library_Register R39 entry + header R1-R38 -&gt; R1-R39 + build note (NEXT AVAILABLE stays R40); R30 files[] R39 object with 6 deep-link anchors + directory prose 34-&gt;35 ref docs / 40-&gt;41 files / search-hint 34-&gt;35; Project Instructions updated (EX-3 DONE, presented for owner commit). Count-formula baseline intact at 11 occurrences. Opus.</t>
        </is>
      </c>
    </row>
    <row r="5">
      <c r="A5" s="32" t="inlineStr">
        <is>
          <t>EX-4</t>
        </is>
      </c>
      <c r="B5" s="32" t="inlineStr">
        <is>
          <t>Profile 007 — Southern Mozambique</t>
        </is>
      </c>
      <c r="C5" s="32" t="inlineStr">
        <is>
          <t>Country/terrain profile, SOUTHERN focus (Maputo corridor, coastal route). Includes NEW Parts &amp; Serviceability section (1HZ parts, tyres 265/70R16 + planned 265/75R16, Victron support, 50ppm fuel).</t>
        </is>
      </c>
      <c r="D5" s="32" t="inlineStr">
        <is>
          <t>DONE</t>
        </is>
      </c>
      <c r="E5" s="32" t="inlineStr">
        <is>
          <t>6 Jul 2026</t>
        </is>
      </c>
      <c r="F5" s="32" t="inlineStr">
        <is>
          <t>DONE 6 Jul 2026. Profile 007 built off LC76_Profile_TEMPLATE.html, v1.5 mobile pattern applied from the current Tanzania-006 reference (template's own mobile CSS lagged pre-v1.5) — div 290/290, span 110/110, paragraphs 24/24 (depth-walk final 0 / min 0 / no neg events), inline JS node --check OK, 24 ids unique (s01–s19 + alerts/changelog), IntersectionObserver active-state corrected for the leading Alerts toc-link (i-1 offset), Leaflet map with PUBLIC town/border/park coords only (GPS policy — no sensitive-site coords), print CSS Section 16, zero localStorage / off-system fonts. SCOPE (owner gates this session): BROADER — Maputo/Gaza/Inhambane + the Sofala approach to Beira; northbound Moz→Malawi (inland Tete corridor) = forward note only (§18) deferred to EX-5/EX-9. NEW Parts &amp; Serviceability section built as §06 (1HZ/CFAO Toyota network Maputo/Matola/Beira + VES-Vilanculos; tyres 265/70R16 + planned 265/75R16 = buy-in-RSA posture; Victron = Maputo solar-trade dealers, RSA support base; 50 ppm fuel quality) — 'self-sufficient to R3 spec, RSA one-border fallback' verdict; feeds EX-8 R3 ledger. CONTENT (web-verified currency, 6 Jul 2026): SA passport visa-free 30 days (SADC) + 2026 evisa.gov.mz ETA/entry-tax rollout (~650 MZN — verify, enforcement inconsistent early 2026); compulsory SORCA third-party + TIP + two triangles, originals only; diesel ~MZN 116/L (~USD 1.8) after ~45% May-2026 hike + 2026 supply disruptions (queues/limits); EN1 Save–Muxungue / Gorongosa–Caia + EN6 Beira–Chimoio banditry corridor w/ military convoys (US Level 2; Cabo Delgado Level 4 far-north OUT OF SCOPE); malaria holoendemic; Maputo NP / Bazaruto (boat access) / Limpopo NP / Gorongosa (corridor caution). PROPAGATED: index.html Profile-007 card + Last Updated 6 Jul; sw.js v12-&gt;v13 + precache (6 profile entries); Library_Register Profile-007 entry + footer (EX-4 built / EX-5–EX-9 pending); Project Instructions updated (EX-4 DONE, presented for owner commit). Count-formula baseline intact at 11 occurrences. Opus.</t>
        </is>
      </c>
    </row>
    <row r="6">
      <c r="A6" s="32" t="inlineStr">
        <is>
          <t>EX-5</t>
        </is>
      </c>
      <c r="B6" s="32" t="inlineStr">
        <is>
          <t>Profile 008 — Malawi</t>
        </is>
      </c>
      <c r="C6" s="32" t="inlineStr">
        <is>
          <t>Country/terrain profile. Includes NEW Parts &amp; Serviceability section (as EX-4).</t>
        </is>
      </c>
      <c r="D6" s="32" t="inlineStr">
        <is>
          <t>DONE</t>
        </is>
      </c>
      <c r="E6" s="32" t="inlineStr">
        <is>
          <t>6 Jul 2026</t>
        </is>
      </c>
      <c r="F6" s="32" t="inlineStr">
        <is>
          <t>DONE 6 Jul 2026. Profile 008 Malawi built on the 007 v1.5 scaffold (CSS reused verbatim; carries the §06 Parts &amp; Serviceability section) — div 291/291, span 109/109, paragraphs 23/23 (depth-walk final 0 / min 0 / no neg), inline JS node --check OK, 24 ids unique (s01–s19 + alerts/changelog), IntersectionObserver i-1 offset, Leaflet map PUBLIC town/border/park coords only (GPS policy), print CSS Section 16, zero localStorage / off-system fonts. SCOPE (owner gates): WHOLE COUNTRY, Lake Malawi shore as the spine (N/C/S); BOTH Moz entries covered evenly — Tete-corridor south/central (Mwanza/Zóbuè, Dedza) + northern lakeshore (Chiponde/Mandimba), completing the EX-4 §18 handoff; onward Tanzania(Songwe→006)/Zambia(Mchinji→004) exits as forward notes to EX-9. §06 verdict: most self-reliant leg so far (CFAO Toyota Blantyre/Lilongwe/Mzuzu; 70-Series common; 1HZ injection parts carry; tyres buy-RSA; Victron thin via Lilongwe/Blantyre solar trade; import squeeze + long road back to RSA) — carry full R3 set. CONTENT (web-verified, 6 Jul 2026): SA passport visa-free 90 days under the 3 Jan 2026 reciprocity regime (verify; evisa.gov.mw for non-exempt); COMESA Yellow Card VALID in Malawi (unlike Moz) + ~US$51/30-day road-access tax + TIP; 2026 FUEL/FOREX CRISIS = headline (~MWK 6,687/L diesel after the 1 Apr 2026 MERA hike, Africa's dearest; chronic shortages/dry pumps/queues; forex scarcity) — do NOT rely on Malawi fuel, enter full + refuel at borders; US Level 2 security (peaceful, petty crime, protest volatility, radar traps); malaria holoendemic; LAKE MALAWI BILHARZIA foregrounded (lakeshore is spine AND schistosomiasis hotspot); African Parks reserves (Majete Big Five/Liwonde/Nkhotakota), Lake Malawi NP UNESCO, Nyika. PROPAGATED: index.html Profile-008 card; sw.js v13-&gt;v14 + precache (7 profile entries); Library_Register Profile-008 entry + footer (EX-5 built / EX-6–EX-9 pending); Project Instructions updated (EX-5 DONE, 001–008, 57/57 files, presented for owner commit). Note: executed in the same chat as EX-4 at owner request (2nd large build), against the one-file-per-session norm; validation clean. Count-formula baseline intact at 11 occurrences. Opus.</t>
        </is>
      </c>
    </row>
    <row r="7">
      <c r="A7" s="32" t="inlineStr">
        <is>
          <t>EX-6</t>
        </is>
      </c>
      <c r="B7" s="32" t="inlineStr">
        <is>
          <t>Profile 009 — Northern Zimbabwe</t>
        </is>
      </c>
      <c r="C7" s="32" t="inlineStr">
        <is>
          <t>Country/terrain profile, NORTHERN focus (Zambezi valley, Kariba, Mana Pools corridor). Includes NEW Parts &amp; Serviceability section (as EX-4).</t>
        </is>
      </c>
      <c r="D7" s="32" t="inlineStr">
        <is>
          <t>DONE</t>
        </is>
      </c>
      <c r="E7" s="32" t="inlineStr">
        <is>
          <t>7 Jul 2026</t>
        </is>
      </c>
      <c r="F7" s="32" t="inlineStr">
        <is>
          <t>DONE 7 Jul 2026. Profile 009 Northern Zimbabwe built on the 008 v1.5 scaffold (CSS reused verbatim; carries the §06 Parts &amp; Serviceability section) — div 219/219, span 150/150, paragraphs 33/33 (depth-walk final 0 / min 0 / no neg events), inline JS node --check OK, 21 ids unique (s01–s19 + alerts/map-container), IntersectionObserver i-1 offset, Leaflet map PUBLIC town/border/park coords only (GPS policy), print CSS Section 16, zero localStorage / off-system fonts. SCOPE (owner gates): NORTHERN FOCUS — Zambezi valley, Kariba, Mana Pools, Chirundu corridor + Hwange NP; Harare EXCLUDED (transit references only); entry Nyamapanda (from Moz Tete corridor), exit Chirundu (to Zambia, recommended default accepted). §06 verdict: most serviceable country after RSA (Toyota CFAO/Croco/Harris Auto; 70-Series large installed base; Madison Solar Engineering Pvt Ltd = authorised Victron distributor; 50 ppm diesel = 1HZ compatible; tyres buy-RSA). CONTENT (web-verified, 7 Jul 2026): SA passport visa-free 90 days (SADC Category A); ZIMRA TIP free issuance + carbon tax/road access/third-party insurance payable in USD; Carnet accepted; COMESA Yellow Card VALID in Zimbabwe; diesel ~USD 1.98/L (ZERA 19 Jun 2026) — 39% hike Mar 2026, among Africa's dearest; USD cash economy (ZiG ~27/USD, ATMs unreliable, most fuel/parks USD-only); US Level 2 (Exercise Increased Caution — crime, official harassment, roadblocks); malaria HIGH year-round in Zambezi valley (P. falciparum &gt;98%), prophylaxis mandatory; narrow potholed trunk roads + heavy truck traffic; Mana Pools UNESCO (walking safaris unaccompanied), Hwange (14,600 km², elephant), Kariba/Matusadona, Chizarira. MANA POOLS 2025/26 flood damage — Ruchomeshi bridge washed out, alternative western entry via Mashumbi Pools flagged, confirm status with ZimParks. PROPAGATED: index.html Profile-009 card + Last Updated 7 Jul; sw.js v14-&gt;v15 + precache (8 profile entries, 59 HTML total); Library_Register Profile-009 entry + footer (EX-6 built / EX-7–EX-9 pending); R30 date bump; Project Instructions updated (EX-6 DONE, presented for owner commit). Count-formula baseline check pending. Opus.</t>
        </is>
      </c>
    </row>
    <row r="8">
      <c r="A8" s="32" t="inlineStr">
        <is>
          <t>EX-7</t>
        </is>
      </c>
      <c r="B8" s="32" t="inlineStr">
        <is>
          <t>Profile 010 — Kenya (northern terminus)</t>
        </is>
      </c>
      <c r="C8" s="32" t="inlineStr">
        <is>
          <t>Country/terrain profile — northern TERMINUS of the expedition. Includes NEW Parts &amp; Serviceability section (as EX-4).</t>
        </is>
      </c>
      <c r="D8" s="32" t="inlineStr">
        <is>
          <t>DONE</t>
        </is>
      </c>
      <c r="E8" s="32" t="inlineStr">
        <is>
          <t>7 Jul 2026</t>
        </is>
      </c>
      <c r="F8" s="32" t="inlineStr">
        <is>
          <t>DONE 7 Jul 2026. Profile 010 Kenya built on 009 v1.5 scaffold. Whole country scope. 20 sections. eTA exempt (May 2025), COMESA valid, KSh 222/L diesel (Jun 2026), 50 ppm sulphur waiver, M-Pesa essential, park fees USD 80-200/day. §06: CFAO Toyota 8 branches (best on route alongside SA), CAT/Firstsun Victron distributors, 50 ppm 1HZ-compatible. OSM basemap. sw.js v17.</t>
        </is>
      </c>
    </row>
    <row r="9">
      <c r="A9" s="32" t="inlineStr">
        <is>
          <t>EX-8</t>
        </is>
      </c>
      <c r="B9" s="32" t="inlineStr">
        <is>
          <t>R3 + R23 extensions + profile 001–006 parts retrofit</t>
        </is>
      </c>
      <c r="C9" s="32" t="inlineStr">
        <is>
          <t>R3: Expedition Consumables Ledger (~60,000 km projected consumption, carry-vs-source logic). R23: Post-Trip Review Protocol (template; FIRST run against Karoo Winter Loop after 4 Sep 2026). Retrofit Parts &amp; Serviceability to profiles 001–006.</t>
        </is>
      </c>
      <c r="D9" s="32" t="inlineStr">
        <is>
          <t>PENDING</t>
        </is>
      </c>
      <c r="E9" s="32" t="inlineStr">
        <is>
          <t>—</t>
        </is>
      </c>
      <c r="F9" s="32" t="inlineStr">
        <is>
          <t>Largest cross-file session — consider split EX-8a (R3+R23) / EX-8b (retrofit) under context pressure. R3/R23 + retrofit are content-only edits to existing precached files -&gt; NO sw.js bump. Supplier-naming discipline. Opus. | 9 Jul 2026: projected expedition distance corrected 40,000 -&gt; 60,000+ km (owner decision, Gate 2) — ledger quantities scale accordingly. En-route service policy: Toyota dealers where route allows; oil changes never deferred (also RA-2 sampling points). || 24 Sep 2026 (working-papers pass, OI-111): Checked against the Open Items Register (master of status): still open. Live status is kept on OI-11, not here.</t>
        </is>
      </c>
    </row>
    <row r="10">
      <c r="A10" s="32" t="inlineStr">
        <is>
          <t>EX-9</t>
        </is>
      </c>
      <c r="B10" s="32" t="inlineStr">
        <is>
          <t>Route &amp; licence-break workshop (interactive)</t>
        </is>
      </c>
      <c r="C10" s="32" t="inlineStr">
        <is>
          <t>Interactive decision session (run AFTER profiles exist): northbound/southbound corridor options; where the RSA licence-renewal break falls; vehicle overwinters abroad vs returns; seasonal windows (verify rains in-session).</t>
        </is>
      </c>
      <c r="D10" s="32" t="inlineStr">
        <is>
          <t>PENDING</t>
        </is>
      </c>
      <c r="E10" s="32" t="inlineStr">
        <is>
          <t>—</t>
        </is>
      </c>
      <c r="F10" s="32" t="inlineStr">
        <is>
          <t>Output: decisions minuted -&gt; R38 §3 update (content-only, no sw.js). Possible second itinerary doc (new file -&gt; sw.js bump) if owner wants the route formalised like the Karoo doc. Interactive (not a rote build). || 24 Sep 2026 (working-papers pass, OI-111): Checked against the Open Items Register (master of status): still open. Live status is kept on OI-12, not here.</t>
        </is>
      </c>
    </row>
    <row r="11">
      <c r="A11" s="32" t="inlineStr">
        <is>
          <t>EX-10</t>
        </is>
      </c>
      <c r="B11" s="32" t="inlineStr">
        <is>
          <t>Pre-departure profile currency refresh (T-6 months)</t>
        </is>
      </c>
      <c r="C11" s="32" t="inlineStr">
        <is>
          <t>Chartered full currency refresh of profiles 001-010 plus R15/R39 fast-moving data (visas, fees, fuel, security, road state) at approx T-6 months before expedition departure. Profiles built 2026 will be materially stale by a 2028 crossing.</t>
        </is>
      </c>
      <c r="D11" s="32" t="inlineStr">
        <is>
          <t>PENDING (trigger ~2028)</t>
        </is>
      </c>
      <c r="E11" s="32" t="inlineStr">
        <is>
          <t>—</t>
        </is>
      </c>
      <c r="F11" s="32" t="inlineStr">
        <is>
          <t>Chartered 8 Jul 2026 from external consultant strategic review. Trigger-dated: schedule ~6 months before expedition departure. Content-only expected; masthead date bumps per standard. || 24 Sep 2026 (working-papers pass, OI-111): Checked against the Open Items Register (master of status): still open. Live status is kept on OI-14, not here.</t>
        </is>
      </c>
    </row>
    <row r="12">
      <c r="A12" s="32" t="inlineStr">
        <is>
          <t>EX-11</t>
        </is>
      </c>
      <c r="B12" s="32" t="inlineStr">
        <is>
          <t>Crisis-critical printed field pack</t>
        </is>
      </c>
      <c r="C12" s="32" t="inlineStr">
        <is>
          <t>Produce a print-optimised crisis pack: R1, R10, R18, R37 emergency/comms tree extract, active country profile. Owner prints &amp; laminates R1/R10 for door pocket. Mitigates device-dependency of the PWA library.</t>
        </is>
      </c>
      <c r="D12" s="32" t="inlineStr">
        <is>
          <t>PENDING</t>
        </is>
      </c>
      <c r="E12" s="32" t="inlineStr">
        <is>
          <t>—</t>
        </is>
      </c>
      <c r="F12" s="32" t="inlineStr">
        <is>
          <t>Chartered 8 Jul 2026 (consultant review). Uses DG Section 16 print standard. Claude produces pack; physical print/laminate is owner action. || 24 Sep 2026 (working-papers pass, OI-111): Checked against the Open Items Register (master of status): still open. Live status is kept on OI-10, not here.</t>
        </is>
      </c>
    </row>
    <row r="13">
      <c r="A13" s="32" t="inlineStr">
        <is>
          <t>RA-1</t>
        </is>
      </c>
      <c r="B13" s="32" t="inlineStr">
        <is>
          <t>Loaded weighbridge — full Karoo trim, BEFORE 3 Aug departure</t>
        </is>
      </c>
      <c r="C13" s="32" t="inlineStr">
        <is>
          <t>Weigh the vehicle in full Karoo Winter Loop trim (corner weights if available) before departure so the loop runs as a loaded shakedown at true expedition weight. Resolves kerb/payload (two estimates ~140 kg apart) and gates tyre pressures, spring adequacy, insurance validity, axle-load legality.</t>
        </is>
      </c>
      <c r="D13" s="32" t="inlineStr">
        <is>
          <t>CLOSED — weighed 10 Aug 2026 (OI-1 closed 15 Sep 2026)</t>
        </is>
      </c>
      <c r="E13" s="32" t="inlineStr">
        <is>
          <t>10 Aug 2026</t>
        </is>
      </c>
      <c r="F13" s="32" t="inlineStr">
        <is>
          <t>Same physical action as TA-002 (weighbridge), deadline sharpened to pre-Karoo, 8 Jul 2026. Closing RA-1 closes TA-002. | 9 Jul 2026 (logistics assessment): THREE kerb/payload pairs now confirmed circulating — ~2,160/~690, ~2,299/~551 (R12/Facts), ~2,287/~563 (R11 component table). All tagged RA-1-gated provisional (R11 M5); closure = single library-wide propagation from weighbridge slip (R11, R12, Facts §2). Insurance-validity dimension added to R29 §2/§11 (M1/M2). | 9 Jul 2026 (Toyota confirmation): factory kerb 2,190 kg and GVM 3,000 kg CONFIRMED by Toyota (supersedes 2,850 kg GVM and all three provisional kerb pairs). Library-wide propagation executed same session (17 files: Facts §2, R11 §2 full re-baseline, R1, R9, R12, R14, R19, R21, R25, R27, R28, R29, R30, index, Trip Fuel Planner, Fuel Range Calc, Tyre Pressure Calc). As-built kerb ~2,317 kg and payload ~683 kg remain ESTIMATES (accessory net +127 kg per R11). RA-1 SCOPE NARROWED: weighbridge now verifies as-built kerb + loaded weight vs 3,000 kg GVM only — factory figures no longer part of the uncertainty. Deadline unchanged: full Karoo trim, before 3 Aug. || 24 Sep 2026 (working-papers pass, OI-111): CLOSED. Loaded per-axle weighbridge done 10 Aug 2026 in full expedition trim (full fuel, 60 L water, all gear): front 1,160 kg, rear 2,120 kg, gross 3,280 kg (E1, weighbridge slip; Facts §1). Legal on each axle (rear the binding axle, 60 kg under its 2,180 kg maximum) but 280 kg OVER the 3,000 kg GVM. Recorded and closed in the Open Items Register 15 Sep 2026 as OI-1. The as-built kerb/payload split is NOT resolved — a loaded pass does not isolate unladen weight — so those stay estimates, no longer blocking. The overload is now an owner decision (OI-103). Closes TA-002 (same physical action).</t>
        </is>
      </c>
    </row>
    <row r="14">
      <c r="A14" s="32" t="inlineStr">
        <is>
          <t>RA-2</t>
        </is>
      </c>
      <c r="B14" s="32" t="inlineStr">
        <is>
          <t>Diagnostic baseline — compression, coolant, oil analysis programme</t>
        </is>
      </c>
      <c r="C14" s="32" t="inlineStr">
        <is>
          <t>Commission compression test + leak-down on all six cylinders and a coolant analysis at a diesel workshop; start a spectrographic oil analysis programme (sample every service) to trend bearing/liner/injector-wash wear toward ~380-400k km by expedition end.</t>
        </is>
      </c>
      <c r="D14" s="32" t="inlineStr">
        <is>
          <t>OPEN — owner-gated</t>
        </is>
      </c>
      <c r="E14" s="32" t="inlineStr">
        <is>
          <t>—</t>
        </is>
      </c>
      <c r="F14" s="32" t="inlineStr">
        <is>
          <t>Chartered 8 Jul 2026. Ideally baseline before Karoo loop. Results feed R8/Facts; oil-analysis cadence joins the service routine. || 24 Sep 2026 (working-papers pass, OI-111): Checked against the Open Items Register (master of status): still open. Live status is kept on OI-5, not here.</t>
        </is>
      </c>
    </row>
    <row r="15">
      <c r="A15" s="32" t="inlineStr">
        <is>
          <t>RA-3</t>
        </is>
      </c>
      <c r="B15" s="32" t="inlineStr">
        <is>
          <t>Timing belt — pre-departure replacement (interval falls mid-expedition)</t>
        </is>
      </c>
      <c r="C15" s="32" t="inlineStr">
        <is>
          <t>Belt replaced at 273,000 km; 100,000 km interval falls due ~373,000 km — inside the expedition window — and belt will be 3+ years old at departure. Replace belt + tensioner inside 12 months of departure; carry the removed belt as the emergency spare. 1HZ is an interference engine.</t>
        </is>
      </c>
      <c r="D15" s="32" t="inlineStr">
        <is>
          <t>OPEN — owner-gated</t>
        </is>
      </c>
      <c r="E15" s="32" t="inlineStr">
        <is>
          <t>—</t>
        </is>
      </c>
      <c r="F15" s="32" t="inlineStr">
        <is>
          <t>Chartered 8 Jul 2026. Schedule alongside a pre-departure service at a diesel workshop. | 9 Jul 2026: Gate 1 decision A CONFIRMED — belt is Apr 2025 @ 273,023 km (full kit incl. tensioner/idler/cover, per R23); pre-departure replacement ~T-3 months stands; removed belt becomes carried spare. R23 reconciled (S1/S2/S6 + triage row). || 24 Sep 2026 (working-papers pass, OI-111): Checked against the Open Items Register (master of status): still open. Live status is kept on OI-21, not here.</t>
        </is>
      </c>
    </row>
    <row r="16">
      <c r="A16" s="32" t="inlineStr">
        <is>
          <t>RA-4</t>
        </is>
      </c>
      <c r="B16" s="32" t="inlineStr">
        <is>
          <t>Rotating-electrics redundancy — alternator/starter spares</t>
        </is>
      </c>
      <c r="C16" s="32" t="inlineStr">
        <is>
          <t>Alternator is sole charge path for crank battery AND feeds the 40A DC-DC; unit is original-era. Carry spare alternator (or minimum brush + regulator kit), starter contact/solenoid kit, and spare belt set.</t>
        </is>
      </c>
      <c r="D16" s="32" t="inlineStr">
        <is>
          <t>RULED 24 Jul 2026 — no spare alternator; kit purchase open (OI-68), jump-pack recharge open (OI-46)</t>
        </is>
      </c>
      <c r="E16" s="32" t="inlineStr">
        <is>
          <t>24 Jul 2026</t>
        </is>
      </c>
      <c r="F16" s="32" t="inlineStr">
        <is>
          <t>Chartered 8 Jul 2026. Feeds R3 Expedition Consumables Ledger (EX-8) spares schedule. || 24 Sep 2026 (working-papers pass, OI-111): Status brought into line with the Open Items Register. The owner ruled 24 Jul 2026 (see row RA-4-RULING; OI-45 closed): no complete spare alternator; carry a brush/regulator kit, starter kit and spare V-belts. Still open from the ruling: buying that kit (OI-68) and confirming how the jump pack is recharged in the field (OI-46).</t>
        </is>
      </c>
    </row>
    <row r="17">
      <c r="A17" s="32" t="inlineStr">
        <is>
          <t>RA-5</t>
        </is>
      </c>
      <c r="B17" s="32" t="inlineStr">
        <is>
          <t>Cooling hardware condition assessment</t>
        </is>
      </c>
      <c r="C17" s="32" t="inlineStr">
        <is>
          <t>Age-based condition assessment of radiator core, viscous fan hub, and all hoses (turbo + intercooler + GVM + tropics duty). Replace on condition before departure, not after first overheat.</t>
        </is>
      </c>
      <c r="D17" s="32" t="inlineStr">
        <is>
          <t>OPEN — owner-gated</t>
        </is>
      </c>
      <c r="E17" s="32" t="inlineStr">
        <is>
          <t>—</t>
        </is>
      </c>
      <c r="F17" s="32" t="inlineStr">
        <is>
          <t>Chartered 8 Jul 2026. R22 covers theory; this is the hardware-age action. || 24 Sep 2026 (working-papers pass, OI-111): Checked against the Open Items Register (master of status): still open. Live status is kept on OI-6, not here.</t>
        </is>
      </c>
    </row>
    <row r="18">
      <c r="A18" s="32" t="inlineStr">
        <is>
          <t>RA-6</t>
        </is>
      </c>
      <c r="B18" s="32" t="inlineStr">
        <is>
          <t>Medical readiness — wilderness first aid (both crew), screening, kit</t>
        </is>
      </c>
      <c r="C18" s="32" t="inlineStr">
        <is>
          <t>Book wilderness first aid course incl. trauma + snakebite for BOTH crew; pre-departure medical AND dental screening; establish prescribing-doctor relationship for expedition medical kit (broad-spectrum antibiotics, standby malaria treatment, personal scripts in volume with border paperwork).</t>
        </is>
      </c>
      <c r="D18" s="32" t="inlineStr">
        <is>
          <t>OPEN — owner-gated</t>
        </is>
      </c>
      <c r="E18" s="32" t="inlineStr">
        <is>
          <t>—</t>
        </is>
      </c>
      <c r="F18" s="32" t="inlineStr">
        <is>
          <t>Chartered 8 Jul 2026. Highest-consequence readiness item. Completion recorded in R37 training register. || 24 Sep 2026 (working-papers pass, OI-111): Checked against the Open Items Register (master of status): still open. Live status is kept on OI-4, not here.</t>
        </is>
      </c>
    </row>
    <row r="19">
      <c r="A19" s="32" t="inlineStr">
        <is>
          <t>RA-7</t>
        </is>
      </c>
      <c r="B19" s="32" t="inlineStr">
        <is>
          <t>Recovery practice day — pre-Karoo</t>
        </is>
      </c>
      <c r="C19" s="32" t="inlineStr">
        <is>
          <t>One deliberate practice session before 3 Aug: winch pull under real load, snatch-block rigging, MaxTrax in sand; both crew rig and both drive. Karoo loop then validates under field conditions.</t>
        </is>
      </c>
      <c r="D19" s="32" t="inlineStr">
        <is>
          <t>OPEN — owner-gated</t>
        </is>
      </c>
      <c r="E19" s="32" t="inlineStr">
        <is>
          <t>—</t>
        </is>
      </c>
      <c r="F19" s="32" t="inlineStr">
        <is>
          <t>Chartered 8 Jul 2026. Outcomes recorded in R37. | 9 Jul 2026: pinned in R37 §7 calendar (before 3 Aug 2026). || 24 Sep 2026 (working-papers pass, OI-111): Checked against the Open Items Register (master of status): still open. Live status is kept on OI-2, not here.</t>
        </is>
      </c>
    </row>
    <row r="20">
      <c r="A20" s="32" t="inlineStr">
        <is>
          <t>RA-8</t>
        </is>
      </c>
      <c r="B20" s="32" t="inlineStr">
        <is>
          <t>Mary-Ann solo-capability scenario — design into Karoo loop</t>
        </is>
      </c>
      <c r="C20" s="32" t="inlineStr">
        <is>
          <t>Design her Karoo participation around the failure scenario: Neil incapacitated — solo vehicle recovery, 300 km solo dirt driving, solo execution of the emergency comms escalation tree. Test capability, not familiarity.</t>
        </is>
      </c>
      <c r="D20" s="32" t="inlineStr">
        <is>
          <t>OPEN — owner-gated</t>
        </is>
      </c>
      <c r="E20" s="32" t="inlineStr">
        <is>
          <t>—</t>
        </is>
      </c>
      <c r="F20" s="32" t="inlineStr">
        <is>
          <t>Chartered 8 Jul 2026. Feeds R37 (skills) and R38 (crew redundancy). Assess on Karoo return via R23 post-trip review. | 9 Jul 2026: scenario row + calendar row added to R37; pass standard defined (solo recovery, solo dirt leg, solo comms tree). || 24 Sep 2026 (working-papers pass, OI-111): Checked against the Open Items Register (master of status): still open. Live status is kept on OI-72, not here.</t>
        </is>
      </c>
    </row>
    <row r="21">
      <c r="A21" s="32" t="inlineStr">
        <is>
          <t>RA-9</t>
        </is>
      </c>
      <c r="B21" s="32" t="inlineStr">
        <is>
          <t>Expedition tyre policy — depart on proven 265/75R16 set</t>
        </is>
      </c>
      <c r="C21" s="32" t="inlineStr">
        <is>
          <t>Reframe 'upgrade when worn out': expedition departs on a fresh 265/75R16 set with &gt;=5,000 proving km (implies fitting ~2027; AT811s finish life as daily-runaround rubber). Choose for casing strength + regional availability. Decide second-spare / casing-repair strategy for East Africa (one spare is thin north of the Zambezi).</t>
        </is>
      </c>
      <c r="D21" s="32" t="inlineStr">
        <is>
          <t>SET FITTED 17 Sep 2026 — proving under way (OI-22); second spare open (OI-19)</t>
        </is>
      </c>
      <c r="E21" s="32" t="inlineStr">
        <is>
          <t>17 Sep 2026</t>
        </is>
      </c>
      <c r="F21" s="32" t="inlineStr">
        <is>
          <t>Chartered 8 Jul 2026. Decision feeds R14/R19 and Facts on execution; pressure tables re-derived after RA-1 weighbridge. || 24 Sep 2026 (working-papers pass, OI-111): Status brought into line with the Open Items Register. BFG All-Terrain KO3 265/75R16 load range D fitted 17 Sep 2026 (4 + matching spare; Facts §6), pulled forward by a third Maxxis sidewall failure; the ≥5,000 km proving run is under way (OI-22). The second-spare / casing-repair strategy for East Africa is still open (OI-19). Tyre-choice criteria now recorded in LC76_Programmes_Reference.txt (RA-9).</t>
        </is>
      </c>
    </row>
    <row r="22">
      <c r="A22" s="32" t="inlineStr">
        <is>
          <t>RA-10</t>
        </is>
      </c>
      <c r="B22" s="32" t="inlineStr">
        <is>
          <t>Comms fail-safe verification — device-independent last layer</t>
        </is>
      </c>
      <c r="C22" s="32" t="inlineStr">
        <is>
          <t>Verify an independent last-ditch comms layer (PLB or inReach) exists, is registered, and works when Starlink/phone/power are all dead. Confirm R16 hardware coverage and R38 escalation tree close the loop with named ownership.</t>
        </is>
      </c>
      <c r="D22" s="32" t="inlineStr">
        <is>
          <t>OPEN — owner-gated</t>
        </is>
      </c>
      <c r="E22" s="32" t="inlineStr">
        <is>
          <t>—</t>
        </is>
      </c>
      <c r="F22" s="32" t="inlineStr">
        <is>
          <t>Chartered 8 Jul 2026. If hardware absent, procurement joins R3 ledger (EX-8). | 9 Jul 2026: fail-safe layer block added to R38 §1 (device/registration/live-test/named-owner placeholders). | 11 Jul 2026 (R29 evaluation, change map M1–M5 executed): RA-10 scope EXTENDED to the satellite voice phone. Owner resolution: satphone NOT owned — planned pre-departure purchase; doctrine = inReach Mini 2 (owned, tracking/GPS/SOS) + sat phone (emergency voice). R16 §6 verification block extended items 6–9 (Garmin IERCC portal registration + mandatory handset Assistance Button config / SIM &amp; airtime live / scheduled IERCC SOS test / carried accessibly); R38 §1 sign-off rows 4–5 added (contingent until purchase); Facts §11C device inventory added; R29 §7/§11 reframed to planned status; R10 §9 activation drill synced. GEOS registration path DEAD (Garmin acquisition) — all library references migrated to the Garmin IERCC Registration Portal. Physical verification (inReach live test pre-Karoo; satphone regime from purchase) remains the open owner action — status stays OPEN. || 24 Sep 2026 (working-papers pass, OI-111): Checked against the Open Items Register (master of status): still open. Live status is kept on OI-3, not here.</t>
        </is>
      </c>
    </row>
    <row r="23">
      <c r="A23" s="32" t="inlineStr">
        <is>
          <t>EX-12</t>
        </is>
      </c>
      <c r="B23" s="32" t="inlineStr">
        <is>
          <t>R8 Service History restructure &amp; cost analysis (3 sessions)</t>
        </is>
      </c>
      <c r="C23" s="32" t="inlineStr">
        <is>
          <t>S1 ledger hygiene (xlsx): R1-&gt;R0 x34, cost-0 convention + rule-based scheduled/unscheduled classification noted in workbook col I; formula cells verified resolved upstream. S2 R8 hub rebuild as Service &amp; Cost Dashboard w/ charts V1-V5 (cumulative cost curve, annual stacked scheduled/renewal, system Pareto, R/km per 50k band, KPI strip; V6 supplier dropped). S3 split: Ledger Archive (&lt;200,000 km) + Ledger Current (&gt;=200,000 km) supplements under R8. Boundary = 200,000 km (owner, Option A).</t>
        </is>
      </c>
      <c r="D23" s="32" t="inlineStr">
        <is>
          <t>S1-S3 DONE — PROGRAMME CLOSED</t>
        </is>
      </c>
      <c r="E23" s="32" t="inlineStr">
        <is>
          <t>10 Jul 2026</t>
        </is>
      </c>
      <c r="F23" s="32" t="inlineStr">
        <is>
          <t>S1 executed 10 Jul 2026: live fetch SHA a7820d3a, 315 rows verified (26-row delta vs stale project copy = Udel injection overhaul itemisation + LiFePO4 TBC row). 34x cost=1 -&gt; 0 (total delta -R34.00 exact); post-edit total R810,838.32 excl. TBC. Formula cells (80k/260k services) already values on live: 6162.85 / 5872.00 net, verified. LiFePO4 row untouched (Gate B). testzip None. || S2 executed 10 Jul 2026: R8 rebuilt as Service &amp; Cost Dashboard (150-&gt;108 KB), R26/R32 taxonomy port, toc-bar + sec-headers s1-s10, KPI strip + V1-V4 inline SVG from embedded 2.2 KB aggregates JSON, major-works register, §10 supplement cards (Archive/Current PENDING S3), 59 KB embedded log JSON + add-record form removed, maintGrid JS retained, 30 dead CSS rules cleaned. Validation clean (div/span 0/0/0, node --check x2, renderer smoke-test, ids unique, stale sweep zero). index card + register updated. Content-only, CACHE stays v19. || S3 executed 10 Jul 2026: live fetch SHA 98526799; reconciliation clean (315 rows, zero cost=1, total R810,838.32, I1/I2 conventions present, sw.js at v19 pre-bump). Both supplements built on R26/R32 standard: Archive 79 rows / 10,384-196,464 km / R132,851.31; Current 236 rows / 202,066-311,000 km / R677,987.01 excl. LiFePO4 TBC. Cross-foot 79+236=315, R132,851.31+R677,987.01=R810,838.32 exact. Embedded-JSON + vanilla-JS renderer, client search, cost-0 child rows dimmed, era KPI strip, xref to R8 + sibling. R8 s10 cards -&gt; live links (pending CSS removed); sw.js CACHE v19-&gt;v20 + 2 precache entries; index 2 supplement cards + R8 desc fix; register entries flipped to built; R30 gained 2 supplement entries + the outstanding R40 row, date bumped. Validation: div/span 0/0/0 x5, node --check clean x5 + sw.js, renderer smoke-test 79/236, ids unique, stale sweep zero. Note: xlsx row 234 (Year-end marker, 1 Jan 2026) carries blank cost — milestone row, renders as em-dash, no total impact. Flagged follow-up: R30 R8 entry body is stale (desc "287 entries", anchor serviceTable removed at S2) — out of S3 scope, needs own small edit. EX-12 CLOSED.</t>
        </is>
      </c>
    </row>
    <row r="24">
      <c r="A24" s="32" t="inlineStr">
        <is>
          <t>MOB-v1.7-S1</t>
        </is>
      </c>
      <c r="B24" s="32" t="inlineStr">
        <is>
          <t>v1.7 Mobile PWA Pattern Propagation — Session 1 (Reference family + R8 supplements, 39 files)</t>
        </is>
      </c>
      <c r="C24" s="32" t="inlineStr">
        <is>
          <t>Roll body{overflow-x:clip;overscroll-behavior-x:none} to Reference family (R1-R28, R30-R32, R34-R39 = 36 files) + 3 R8 supplements (Service_Checklist, Service_Ledger_Archive, Service_Ledger_Current). Guard: html-level overflow-x alone insufficient; body must ALSO carry the two declarations (clip, not hidden — hidden on body breaks Safari sticky). Chartered 11 Jul 2026 following R29 fix + DG v1.7 amendment.</t>
        </is>
      </c>
      <c r="D24" s="32" t="inlineStr">
        <is>
          <t>S1 DONE</t>
        </is>
      </c>
      <c r="E24" s="32" t="inlineStr">
        <is>
          <t>11 Jul 2026</t>
        </is>
      </c>
      <c r="F24" s="32" t="inlineStr">
        <is>
          <t>Executed 11 Jul 2026: live fetch SHA f970204c (39 files). Pre-audit: 0/39 conforming to v1.7; 0/39 had prohibited overflow-x:hidden on body (clean start). Patch: anchored insertion of overflow-x:clip;overscroll-behavior-x:none into the first CSS body{} block (immediately following html{overflow-x:...} in every file); all later body{} blocks (inside @media queries and print rules) left untouched. Applied uniformly with per-file assert count==1 guard on the exact old body block. Result: 39/39 patched. Validation: div/span depth walk 0/0/0 on all 39; body rule presence check 39/39; node --check on every inline script block 0 errors. Masthead dates bumped to 11 Jul 2026 (36 files bumped; 3 files R16/R10/R38 already at session date from prior work). Content-only — CACHE stays v20. Sessions 2 (10 profiles) and 3 (3 philosophy + 1 itinerary + 6 calculators) remain chartered. index.html + R29 + R40 already conform, excluded from all three sessions.</t>
        </is>
      </c>
    </row>
    <row r="25">
      <c r="A25" s="32" t="inlineStr">
        <is>
          <t>MOB-v1.7-S2</t>
        </is>
      </c>
      <c r="B25" s="32" t="inlineStr">
        <is>
          <t>v1.7 Mobile PWA Pattern Propagation — Session 2 (Country/terrain profiles, 10 files)</t>
        </is>
      </c>
      <c r="C25" s="32" t="inlineStr">
        <is>
          <t>Roll body{overflow-x:clip;overscroll-behavior-x:none} to all 10 country/terrain profiles (001 Angola through 010 Kenya). Chartered 11 Jul 2026 as second of three sessions.</t>
        </is>
      </c>
      <c r="D25" s="32" t="inlineStr">
        <is>
          <t>S2 DONE</t>
        </is>
      </c>
      <c r="E25" s="32" t="inlineStr">
        <is>
          <t>11 Jul 2026</t>
        </is>
      </c>
      <c r="F25" s="32" t="inlineStr">
        <is>
          <t>Executed 11 Jul 2026: live fetch SHA a6408f8b (10 profile files). Pre-audit: 0/10 conforming to v1.7; 0/10 had prohibited overflow-x:hidden on body (clean start). Uniform anchored patch — insert overflow-x:clip;overscroll-behavior-x:none into the first CSS body{} block (immediately following html{overflow-x:...} in every file); later body blocks in @media queries untouched. Per-file assert count==1 guard on the exact old body block. Result: 10/10 patched. Validation: node --check on inline scripts 0 errors; body-rule presence 10/10 confirmed; size delta exactly 43 bytes per file (matches CSS insertion length). Masthead dates bumped to 11 Jul 2026 (10/10 bumped). PRE-EXISTING SCAN ANOMALY (not caused by this session): naive div/span depth walk shows -1 depth with 95 neg events on Angola profile and 111 neg events on Namibia profile. Verified against re-fetched originals — identical stats before and after edit, confirming CSS-only change introduced zero DOM modification. Root cause: JS template strings containing &lt;/div&gt; fragments not fully stripped by the scan heuristic (e.g. Angola line 1591 in map renderer). These files render correctly on GitHub Pages. Logged as OPEN FOLLOW-UP for a future validator refinement session — should NOT block propagation, is not a rendering defect. Content-only across the board — CACHE stays v20. Session 3 (3 philosophy + 1 itinerary + 6 calculators) remains chartered.</t>
        </is>
      </c>
    </row>
    <row r="26">
      <c r="A26" s="32" t="inlineStr">
        <is>
          <t>MOB-v1.7-S3</t>
        </is>
      </c>
      <c r="B26" s="32" t="inlineStr">
        <is>
          <t>v1.7 Mobile PWA Pattern Propagation — Session 3 (Philosophy + Itinerary + Calculators, 10 files)</t>
        </is>
      </c>
      <c r="C26" s="32" t="inlineStr">
        <is>
          <t>Roll body{overflow-x:clip;overscroll-behavior-x:none} to the 3 philosophy files (Manifesto, Commentary, History), 1 itinerary (Karoo Winter Loop), and 6 calculators (Fuel Range, Trip Fuel Planner, Fuel Log Analyser, Water Budget, LiFePO4, Tyre Pressure). Chartered 11 Jul 2026 as third and final session of the workstream.</t>
        </is>
      </c>
      <c r="D26" s="32" t="inlineStr">
        <is>
          <t>S3 DONE — WORKSTREAM CLOSED</t>
        </is>
      </c>
      <c r="E26" s="32" t="inlineStr">
        <is>
          <t>11 Jul 2026</t>
        </is>
      </c>
      <c r="F26" s="32" t="inlineStr">
        <is>
          <t>Executed 11 Jul 2026: live fetch SHA e73d56a6 (10 files across 3 file classes). Pre-audit: 0/10 conforming to v1.7; 0/10 had prohibited overflow-x:hidden on body (clean start). Uniform anchored patch — insert overflow-x:clip;overscroll-behavior-x:none into the first CSS body{} block; assert count==1 guard; 10/10 patched. Size delta 43 bytes on 9 files, 40 bytes on Karoo (whitespace trim variance — verified correctly patched). Full validation: div/span depth walk 0/0/0 on all 10; body-rule presence 10/10; node --check on inline scripts, zero errors. Date bump: no files carry a standard masthead "Last updated" line (calculators exempt per DG v1.6 S10; philosophy + Karoo retained AS-IS per owner decision 7 Jul 2026 — not migrated to standard masthead). History footer "Compiled Jun 2026" and Karoo updated-banner NOT touched (structural elements outside CSS-only chartered scope). Working papers: this row style-cloned from S2. Formula/substring baseline preserved (unchanged from S1/S2). testzip None. Content-only — CACHE stays v20. index.html header-meta bumped once at session close. WORKSTREAM CLOSED: mobile pattern v1.7 now propagated across all in-scope library files (39 reference/supplements S1 + 10 profiles S2 + 10 philosophy/itinerary/calculators S3 = 59 files, plus R29 + R40 + index.html done pre-workstream = 62 total in-library files carrying the body-clip rule).</t>
        </is>
      </c>
    </row>
    <row r="27">
      <c r="A27" s="32" t="inlineStr">
        <is>
          <t>BASE-ADJ-1</t>
        </is>
      </c>
      <c r="B27" s="32" t="inlineStr">
        <is>
          <t>COUNTIF baseline adjudication — retire substring metric</t>
        </is>
      </c>
      <c r="C27" s="32" t="inlineStr">
        <is>
          <t>Owner-approved adjudication (12 Jul 2026) of the working-papers formula-integrity baseline. Two competing metrics had drifted against a stale recorded "baseline 10": (a) COUNTIF/COUNTIFS FORMULA CELLS = 9; (b) COUNTIF SUBSTRING OCCURRENCES = 13. Ruling: baseline = 9 formula cells; the substring metric is RETIRED.</t>
        </is>
      </c>
      <c r="D27" s="32" t="inlineStr">
        <is>
          <t>CLOSED — baseline = 9 formula cells</t>
        </is>
      </c>
      <c r="E27" s="32" t="inlineStr">
        <is>
          <t>12 Jul 2026</t>
        </is>
      </c>
      <c r="F27" s="32" t="inlineStr">
        <is>
          <t>Adjudicated 12 Jul 2026 (live fetch SHA c7480643). Enumerated all COUNTIF/COUNTIFS usage: 9 distinct formula cells (Summary!B10,B11,B12,B13,B14,B17,B18,B19,B20) — these are the integrity-critical live metric cells the baseline protects. Substring count of 13 = the same 9 cells but B12 and B18 each carry two COUNTIF functions and prose cell B62 mentions "COUNTIF" once (2+2+... ) — text-level, not structure-level, and fragile to any prose reword or added function. The former "baseline 10" was a miscount drifting between the two methods. RULING (owner-approved): the authoritative baseline is 9 FORMULA CELLS; the substring metric is retired and must not be reasserted. Going-forward validation: preserve exactly these 9 COUNTIF/COUNTIFS formula cells (append-only edits, never recalc, never data_only=True). testzip None. Append-only row; no formula cell touched (verified 9/9 identical before and after this edit).</t>
        </is>
      </c>
    </row>
    <row r="28">
      <c r="A28" s="32" t="inlineStr">
        <is>
          <t>CONTENT-AUDIT-SA</t>
        </is>
      </c>
      <c r="B28" s="32" t="inlineStr">
        <is>
          <t>Content Currency &amp; Completeness Audit — Session A (corpus sweep + Tier 1 life-safety) + same-session remediation</t>
        </is>
      </c>
      <c r="C28" s="32" t="inlineStr">
        <is>
          <t>Chartered 21 Jul 2026 (owner). Distinct from the Jun/Jul coverage audits: tests CURRENCY, COMPLETENESS (expert checklist written before opening each file — the R42 "thin file" lesson), ACCURACY vs authoritative sources, CONSISTENCY (one-owner rule), FIELD FITNESS. Risk-tiered: T1 life-safety (R10 R18 R9 R42 R35 R36 R17) full depth; T2 expedition-gating; T3 vehicle technical; T4 profiles LOG-ONLY parked to EX-10 (Gate A); T5 framework sweep. Kit specs audited to BEST PRACTICE, inventory variances to EX-8 (Gate C). Findings continue the series at F38; consolidated report LC76_Library_Audit_2026-07_Content.html at Session E (Gate B).</t>
        </is>
      </c>
      <c r="D28" s="32" t="inlineStr">
        <is>
          <t>SESSION A DONE — B–E CHARTERED (OI-34)</t>
        </is>
      </c>
      <c r="E28" s="32" t="inlineStr">
        <is>
          <t>21 Jul 2026</t>
        </is>
      </c>
      <c r="F28" s="32" t="inlineStr">
        <is>
          <t>Executed 21 Jul 2026 at pinned HEAD b6a9b641 (full-corpus tarball fetch). Scripted supersession sweep (24 term chains) across all HTML/txt; hits adjudicated in context — documented exemptions upheld (service intervals, planned-tyre framing, doctrine statements, HISTORICAL blocks, closed-log entries). FINDINGS F38–F50: F38 CRITICAL R10 §3 superseded fire drill (owning doc contradicted R42 — "no water on electrical fire" vs LiFePO4 water-in-volume; no M-series step); F39–F41 HIGH R18 gaps (zero timing-belt content on an interference engine; zero EGT doctrine despite fitted pyrometer; pre-Victron charging tree); F42 HIGH Facts §2 + Register stale ledger figures (314/R810,872 → 315/R810,838.32 excl LiFePO4 TBC); F43–F47 MEDIUM (R10 no R42 xref/deferred C5; R9 winch electrical doctrine absent; R36 no baboon/bees; R15 route-drift phrase; R17 bilharzia thin vs 5-month Lake Malawi base); F48 repo orphans tyre_calc.html + session tarball (OI-32); F49 mary-ann-70/ scope confirm (OI-33); F50 subsumed by F38. ALL CLAUDE-REMEDIABLE ITEMS FIXED SAME SESSION (owner charter "execute all in this chat" — own-session rule overridden for R10/R18, index-restructure precedent): R10 3 anchored edits + masthead; R18 3 inserts (belt diag-card first in no-start §1, §3B EGT group, Victron note in elec §1) + masthead; R9/R36/R17/R15/Facts/Register/R38/R39 pills per finding; R30 +4 topic rows. Validation clean ×9 HTML (script-stripped div/span walks 0/0/0, node --check all inline scripts, ids unique, stale sweep zero with presence assertions). VERIFIED CLEAN: R10 snakebite doctrine current best practice; R11 weights authoritative; R5 rebuild sound (fridge-to-starter = emergency bypass); R16 GEOS refs correct; Facts historical electrical block properly marked; OIR open section clean. Content-only — CACHE stays v24. Sessions B–E chartered as OI-34. This row style-cloned from BASE-ADJ-1; 9/9 COUNTIF formula cells verified identical before/after; testzip None.</t>
        </is>
      </c>
    </row>
    <row r="29">
      <c r="A29" s="32" t="inlineStr">
        <is>
          <t>CONTENT-AUDIT-SB</t>
        </is>
      </c>
      <c r="B29" s="32" t="inlineStr">
        <is>
          <t>Content Currency &amp; Completeness Audit — Session B (Tier 2 expedition-gating) + same-session remediation</t>
        </is>
      </c>
      <c r="C29" s="32" t="inlineStr">
        <is>
          <t>Second of five chartered sessions (OI-34). Scope: R29, R39 + Owner_Authority_Affidavit, R38, R15, R23, R2, R37 — expedition-gating documents where error cost is trip-stopping (insurance repudiation, border refusal, carnet, money access). Expert checklists written before opening each file; document/date verification against Facts §11.</t>
        </is>
      </c>
      <c r="D29" s="32" t="inlineStr">
        <is>
          <t>SESSION B DONE — C/D/E remain (OI-34)</t>
        </is>
      </c>
      <c r="E29" s="32" t="inlineStr">
        <is>
          <t>21 Jul 2026</t>
        </is>
      </c>
      <c r="F29" s="32" t="inlineStr">
        <is>
          <t>Executed 21 Jul 2026 at HEAD b6a9b641 corpus (Session A tarball, same pinned SHA). FINDINGS F51–F57: F51 HIGH — R23 Post-Trip Review Protocol DOES NOT EXIST (chartered inside unexecuted EX-8; the Karoo Winter Loop return ~4 Sep 2026 is planned as its "first live execution" — dependency fails as written) → OI-35 opened recommending a pull-forward standalone build. FIXED SAME SESSION: F52 MEDIUM R39 §6 mobile money absent (East Africa runs on M-Pesa/Airtel Money/MTN MoMo; many Kenyan transactions mobile-only) → "fourth instrument" doctrine block inserted before Card-failure fallback (visitor registration passport+SIM, working float, spend-out before exit, agent-kiosk-only + SMS-confirm fraud discipline, R35 §8 xref); F53 MEDIUM R2 carried no fire-equipment item post-R42 → critical Fire kit row appended to Final Pre-Departure zone (gauges green, invert-and-tap, blanket pouch, aerosol sticks, tent knives, R42 §1); F54 MEDIUM R2 Vehicle-documents row silent on the owner-authority affidavit / RC1 certified copy → detail extended (affidavit aboard whenever Neil drives without Mary-Ann); F55 LOW pre-existing R2 count staleness (subtitle 68-item/37-critical + JS total=70 vs actual 70/41) → corrected to 71/42 with the new row (zoneI badge 8→9, static progress label bumped). F56 LOW log-only: R15 lacks red/green-channel description — flow coverage otherwise adequate, no edit. F57 VERIFIED CLEAN: R29 all 17-Jul licence corrections held (Mary-Ann 27 May 2029 mandatory, Day-85 Bonitas row, carnet write-off step 7, GVM 3,000 ×2, WCG ref 260717-000921, Maisha corridor verify item); R38 sound (§4 SKELETON is the chartered M4/EX-9 state, not a defect; §6 A1–A12, veto, abort criteria, IERCC present); R37 RA sign-off coverage complete (fire-response, scam roleplay, carcass swap, winch, solo, dental; first-aid present as certification rows); affidavit 13-digit ID-leak sweep zero (privacy doctrine intact); R23 Uganda hits = dealer-network factual table (exempt); R15 FMD/vet-fence coverage confirmed strong in country cards. Validation clean ×2 edited files (script-stripped div/span 0/0/0, node --check, ids unique, presence assertions). Content-only — CACHE stays v24. Masthead: R2 bumped 21 Jul (R39 already at date). Style-cloned from CONTENT-AUDIT-SA; 9/9 COUNTIF cells verified; testzip None.</t>
        </is>
      </c>
    </row>
    <row r="30">
      <c r="A30" s="32" t="inlineStr">
        <is>
          <t>CONTENT-AUDIT-SC</t>
        </is>
      </c>
      <c r="B30" s="32" t="inlineStr">
        <is>
          <t>Content Audit Session C (Tier 3a engine &amp; driveline) + OI-35 R23 §7 Post-Trip Review Protocol build</t>
        </is>
      </c>
      <c r="C30" s="32" t="inlineStr">
        <is>
          <t>Third of five audit sessions (OI-34) + owner-chartered OI-35 pull-forward build. Audit scope: R4, R21, R22, R24, R25, R20, R13, R14, R40, R27, R34, R3 (R18 audited Session A). 70-Series engineer lens; cross-consistency checks on instrument thresholds and kit doctrine seams (R3↔R40, R21↔R18↔R10).</t>
        </is>
      </c>
      <c r="D30" s="32" t="inlineStr">
        <is>
          <t>SESSION C DONE + OI-35 CLOSED — D/E remain (OI-34)</t>
        </is>
      </c>
      <c r="E30" s="32" t="inlineStr">
        <is>
          <t>21 Jul 2026</t>
        </is>
      </c>
      <c r="F30" s="32" t="inlineStr">
        <is>
          <t>Executed 21 Jul 2026. OI-35 BUILD: R23 §7 Post-Trip Review Protocol — 7 task rows A–G (incidents &amp; near-misses [R41 seam doctrine] · kit three-piles [safety kit exempt from cull] · consumption actuals [Fuel Log Analyser / R12 / EX-8 calibration] · vehicle close-out [RA-2 sampling point, Facts §2] · crew &amp; skills [R37 sign-offs, RA-8 Karoo assessment] · doctrine change list [graded FIX-NOW/CHARTER/EX-10, all via OIR] · propagation &amp; sign-off [xlsx-first rule]), sign-off table row 1 = Karoo 2026 (first execution also reviews the protocol), xref-bar (R3/R37/R38 §6/R41/R11/Fuel Log Analyser); TOC link + sections array extended to s7; PRE-EXISTING COUNT STALENESS corrected — TOTAL_TASKS said 32 against an actual 37 task-checks; now 44 with §7 (static label bumped). AUDIT FINDINGS F58–F64: F59 MEDIUM EGT threshold inconsistency — R21 (owning doc) carries ≥550°C-sustained back-off + 650°C pre-turbo hard ceiling; R10 turbo card said "max 600°C in manifold" and the Session-A R18 §3B card said "600°C sustained ceiling" → both aligned to R21 wording with explicit ownership pointer. F60 MEDIUM R22 viscous fan clutch card carried no RA-5 pointer → pre-departure condition-assessment note added (hub/radiator/hoses, replace-on-condition, test procedure = assessment method). F61 MEDIUM TPMS TP-V31 (fitted May 2025 @ 274,000 km per Facts §6; sensor care owned by R40) entirely absent from R14 strategy doc → trend-and-alarm doctrine card added to Daily Tyre Inspection (gauge remains truth for setting; per-corner offset noting; down-trend response; R40 §2/§4 sensor-care pointers). F62 MEDIUM R3 What-to-Carry tyre sentence contradicted R40 + OI-17 (claimed carry "a bead breaker and a portable bead seater", 2× levers vs chartered 3× long) → rewritten: 3× long levers + rim protectors + bead lube + ratchet strap (R40 §5 method), bead breaking = R40 §2 drive-over/jack, clamp breaker = OPEN OI-17 recommended-not-carried, valve stems ×4 + TPMS grommet/seal kit added. F63 LOW log-only: R20 no injection-pump seals (unit-service scope, acceptable); R21 no running turbo-mileage (R18 carries ~86,000 km since recon). F64 VERIFIED CLEAN: R4 (SOHC ×4, shim ×23, interference, air-bleed, Jun-2026 overhaul reflected), R24 (tank clean @310,412, sedimenter, Desert Fox ×9, biodiesel/diesel-bug), R25 (859/N181/CS058R/63111 all ×3 + 400 kg ×4, castor, damper), R13 (R151F ×15, diff locks, freewheel hubs, birfields), R34 (LSPV ×21, DOT, bleed, LSPV load-sensing present), R27 (R40 ×2, field-fix kit consistent), R40 (131 Nm ×2 with verify note = OI-7 wired). PROPAGATION: R30 R23-entry s7 topic row; index.html R23 desc extended + R2 card count 68→71 (Session-B propagation completion). Validation clean ×7 HTML + index (script-stripped walks 0/0/0, node --check, ids unique, presence/absence assertions incl. old threshold strings at zero). Mastheads bumped: R23, R22, R14, R3 (R18/R10 already 21 Jul). Content-only — CACHE stays v24. Style-cloned row; 9/9 COUNTIF verified; testzip None.</t>
        </is>
      </c>
    </row>
    <row r="31">
      <c r="A31" s="32" t="inlineStr">
        <is>
          <t>CONTENT-AUDIT-SD</t>
        </is>
      </c>
      <c r="B31" s="32" t="inlineStr">
        <is>
          <t>Content Audit Session D (Tier 3b electrical &amp; service) + self-audit of prior-session edits</t>
        </is>
      </c>
      <c r="C31" s="32" t="inlineStr">
        <is>
          <t>Fourth of five audit sessions (OI-34). Scope: R5, R7, R26, R32, R8 + Service_Checklist / Ledger_Archive / Ledger_Current, R1, R31. Adds a SELF-AUDIT step: prior-session Claude edits are re-tested against their cited owning documents.</t>
        </is>
      </c>
      <c r="D31" s="32" t="inlineStr">
        <is>
          <t>SESSION D DONE — E remains (OI-34)</t>
        </is>
      </c>
      <c r="E31" s="32" t="inlineStr">
        <is>
          <t>21 Jul 2026</t>
        </is>
      </c>
      <c r="F31" s="32" t="inlineStr">
        <is>
          <t>Executed 21 Jul 2026 at the HEAD b6a9b641 corpus. FINDINGS F65–F70, all remediated same session. F65 SELF-INTRODUCED DEFECT (disclosed to owner): the Session-A R18 Victron charging note asserted a "30A fuse on the alternator cable" for the Orion; R26 — the owning document — carries no Orion fuse rating anywhere (it says only "check Orion input &amp; output fuses"). The number was fabricated to complete a sentence, not sourced from Facts, R26 or a manual. CORRECTED to generic wording with ratings/layout deferred to R26; '30A' asserted absent from R18 in validation. Standing lesson recorded in the PI and OIR: any specific numeric spec introduced into a library document must be traceable to Facts, the owning R-doc, or a manual; self-audit of prior-session edits is now part of every subsequent audit session. F66 MEDIUM R1 Reference Card: its own subtitle promises "torque values at a glance" while the document contained ZERO torque figures (sole occurrence of the word was the subtitle) — Field Torque &amp; Pressures card added: wheel nuts 131 Nm carrying the OI-7 VERIFY caveat, ~50 km re-torque rule, tyre pressures delegated to R14 as authoritative (deliberately NOT restated — one-owner rule), wheel procedure to R40, other torques to R4/workshop manual. F67 MEDIUM R31 Upgrade Assessment status matrix contained NO electrical row: the all-Victron LiFePO4 install (Jul 2026 @ 311,000 km, Manjaro, quote LC76SW004) — the largest single upgrade of the year — was absent, as were solar, winch and tyre policy. Four rows added: LiFePO4 DONE (cost TBC, wired to OI-8), solar DONE (Hardkorr 200 W via SmartSolar), winch DONE (crank-direct, no hi-lift doctrine), expedition 265/75R16 set PLANNED (RA-9 &gt;=5,000 proving km, OI-19 second-spare decision open). F68 MEDIUM R7 "as fitted" report gave the charge profile only as "Multi-stage · LiFePO4 preset"; the actual commissioning values existed ONLY in Facts §5 — Commissioning Charge Profile table added (absorption 14.2-14.4 V, float 13.5 V, BMS charge cut-off 14.4 V, discharge cut-off 9.6 V, temp-comp OFF, equalise OFF, low-temp cutoff by BMS) with a why-it-exists note (settings to verify after firmware update / factory reset / device replacement, and to hand any workshop; temp-comp and equalisation are the two that do real damage if lead-acid defaults creep back). F69 SEAM (cross-document): R31 records the radiator as flagged inferior quality at install; RA-5 cooling assessment did not carry that intelligence — wired both directions (R31 row -&gt; RA-5; R22 RA-5 note now states the core is a probable replacement rather than a maybe). F70 VERIFIED CLEAN: R5 (Orion x26, SmartShunt x54, BMS x48, 40A cap, VictronConnect x12), R26 (Orion x40, isolation x14, shore power, earthing x70 — absence of fuse RATINGS logged as a build-documentation question, deliberately not invented), R32 (Willard, alternator-only crank charging, DEFA-removed doctrine, parasitic drain, load test), R8 + three supplements (315 records / R810,838.32 / LiFePO4 TBC consistent; Archive correctly carries no post-200,000 km data). PROPAGATION: R30 +3 topic rows (R1 torque, R7 charge profile, R31 install/tyre). Mastheads bumped 21 Jul: R1, R7, R31 (R18, R22 already at date). Validation clean x5 HTML + R30 (script-stripped div/span walks 0/0/0, table/tr/td/tbody balance on edited tables, node --check all inline scripts, ids unique, presence + absence assertions). Content-only — CACHE stays v24. Style-cloned row; 9/9 COUNTIF formula cells verified; testzip None.</t>
        </is>
      </c>
    </row>
    <row r="32" s="21">
      <c r="A32" s="32" t="inlineStr">
        <is>
          <t>CONTENT-AUDIT-SE</t>
        </is>
      </c>
      <c r="B32" s="32" t="inlineStr">
        <is>
          <t>Content Audit Session E (Tier 4 profile catalogue · Tier 5 framework sweep · consolidated report) — PROGRAMME CLOSED</t>
        </is>
      </c>
      <c r="C32" s="32" t="inlineStr">
        <is>
          <t>Fifth and final audit session (OI-34). Tier 4 profiles logged only, parked to EX-10 per owner Gate A. Tier 5 framework sweep across 20 files. Consolidated report issued as LC76_Library_Audit_2026-07_Content.html per Gate B.</t>
        </is>
      </c>
      <c r="D32" s="32" t="inlineStr">
        <is>
          <t>PROGRAMME CLOSED — OI-34 CLOSED</t>
        </is>
      </c>
      <c r="E32" s="32" t="inlineStr">
        <is>
          <t>21 Jul 2026</t>
        </is>
      </c>
      <c r="F32" s="32" t="inlineStr">
        <is>
          <t>Executed 21 Jul 2026. GATE B RESOLVED FROM EVIDENCE rather than by asking again: sw.js contains zero references to LC76_Library_Audit_2026-06.html, LC76_Library_Audit_2026-07.html or the Open Items Register, while both audits ARE linked from the index governance grid — audit reports are index-linked governance documents, never precached. New report given identical treatment: index governance card (placed first in the grid, newest-first) + Library Register entry + explicit "NOT precached, no CACHE bump" annotation. CACHE stays v24 despite a file being added, consistent with the OIR precedent. TIER 4 (log-only, Gate A): perishable-data census run across all ten profiles and tabulated in the report — fuel-price, visa-fee and security/political mention counts per profile, plus §06 presence. F71 HIGH: §06 Parts &amp; Serviceability exists ONLY in profiles 007-010 (the four built Jul 2026); 001-006 — Angola, Namibia, Botswana, Zambia, Kalahari, Tanzania — have no parts/serviceability section at all, which is the entire opening leg and the first dry-season run north. Retrofit already chartered in EX-8; audit raises priority -&gt; OI-36. F72 MEDIUM: no profile carries any data-freshness marker (verified by full-file inspection, not a single regex, per the standing rule on asserting absence) — perishable content is indistinguishable from durable content at the point of reading; recommend a standard "Data verified: &lt;date&gt; · prices &amp; fees indicative only" line inheriting the scam register V/M/S convention -&gt; OI-37 (EX-10). TIER 5: 20 framework files swept (R11 R12 R16 R19 R28 R30 R41, 6 calculators, 4 philosophy, Karoo itinerary, index, Design Guidelines). F73 CLEAN — zero true defects; three apparent hits adjudicated as false positives in context: R28 "2,850" is the wheelbase in mm not GVM in kg, the Fuel Log Analyser hit is odometer data inside an embedded CSV block, and the Tyre Pressure Calculator 265/75R16 x15 is a size-selector button set offering both sizes with 265/70 explicitly marked "Current". F74 CLEAN — profile structural integrity confirmed (no stale cross-refs, no retired filenames, no superseded weights). A candidate F73 finding (COVID-era reference in profile 009) was investigated and DROPPED as a regex artifact of the vaccination-certificate pattern — not reported, applying the F65 lesson that a plausible finding must be verified before it is written down. REPORT: LC76_Library_Audit_2026-07_Content.html, 38 KB, 7 sections (scope &amp; method / verdict / findings register F38-F74 / critical &amp; high detail / Tier 4 catalogue / verified clean / outstanding), audit-family design conventions cloned from the Jul 2026 audit, v1.7 mobile pattern, §16 print CSS, provenance footer retained. Verdict recorded: the library is in good condition; its weakness is the seams between documents and the lag between an event and every document it touches — three structural patterns identified (owning document updated last; documents promising content they do not carry; authoritative values marooned in one file). PROGRAMME TOTALS across Sessions A-E: 37 findings (1 critical, 5 high, 19 medium, 12 low/clean), 31 remediated in-session, 4 routed open (OI-32 repo orphans, OI-36 §06 retrofit, OI-37 freshness marker; F56/F63 logged as accepted scope). Validation clean on report + index (div/span walks 0/0/0, full tag balance, node --check, ids unique, all TOC targets resolve). Style-cloned row; 9/9 COUNTIF verified; testzip None.</t>
        </is>
      </c>
    </row>
    <row r="33" s="21">
      <c r="A33" s="32" t="inlineStr">
        <is>
          <t>OI-36/37-BUILD</t>
        </is>
      </c>
      <c r="B33" s="32" t="inlineStr">
        <is>
          <t>Profile §06 Parts &amp; Serviceability retrofit + data-freshness marker (single combined per-profile pass)</t>
        </is>
      </c>
      <c r="C33" s="32" t="inlineStr">
        <is>
          <t>Insert §06 Parts &amp; Serviceability into profiles 001, 002, 003, 004, 006 and renumber their §06–§18 to §07–§19 so all ten profiles share one numbering scheme; apply the OI-37 freshness marker (V/M/S grades) to perishable content in each new section; correct LC76_Profile_TEMPLATE.html so the gap cannot recur. Profile 005 (Kalahari) scoped OUT — terrain profile with a different section spine, ground covered by 002/003.</t>
        </is>
      </c>
      <c r="D33" s="32" t="inlineStr">
        <is>
          <t>BUILT — OI-36 &amp; OI-37 substantially closed (residual full build at EX-10); OI-38 opened</t>
        </is>
      </c>
      <c r="E33" s="32" t="inlineStr">
        <is>
          <t>22 Jul 2026</t>
        </is>
      </c>
      <c r="F33" s="32" t="inlineStr">
        <is>
          <t>Executed 22 Jul 2026 at pinned HEAD 9c6799c1 (full-corpus tarball fetch). GATE 0 REVERSED THE APPEND RATIFICATION ON EVIDENCE: 007–010 had INSERTED the section at §06 (Roads pushed to §07) while 001–004/006 and the template still ran the original 18-section shape. Corpus scan returned ZERO external anchor links and ZERO textual §-refs into 001–006 (R30 carries no profile links at all), so renumbering broke nothing whereas appending would have left identical content at §06 in four files and §19 in five. VALIDATION on all six edited files: script-stripped div/span depth walks 0/0/0, spans balanced, ids unique, node --check clean, sec-num sequence 01–19+LOG, TOC/sectionIds index contract 20/20 with pairwise order verified. THREE DEFECTS: (1) self-introduced changelog-wrapper break in 002, caught by the div walk and fixed — disclosed; (2) pre-existing stray &lt;/span&gt; in 002 (156/157 static) from a superseded three-stripe flag construct, same root cause as the Angola defect fixed 12 Jul — now 167/167; the standing do-not-re-flag note attributing this to JS template strings is a misdiagnosis, corrected in the Project Instructions. Angola verified clean at 126/126. (3) TOC/IntersectionObserver index contract broken in 003, 006 and the template — fixed in all six; 007–010 likely carry it and are swept next → OI-38. PROPAGATION: Library Register profile blocks re-stated to 19 sections + numbering note; Open Items Register (OI-36/37 execution records, OI-38 opened, closed-log entry); index.html header-meta 22 Jul. Content-only — nothing added, removed or renamed, so CACHE STAYS v24. Next free open item OI-39.</t>
        </is>
      </c>
    </row>
    <row r="34" s="21">
      <c r="A34" s="32" t="inlineStr">
        <is>
          <t>OI-38-SWEEP</t>
        </is>
      </c>
      <c r="B34" s="32" t="inlineStr">
        <is>
          <t>Profile TOC / IntersectionObserver index contract — family-wide audit and repair</t>
        </is>
      </c>
      <c r="C34" s="32" t="inlineStr">
        <is>
          <t>Audit the sectionIds array against the TOC click targets across all ten profiles plus LC76_Profile_TEMPLATE.html, and repair every mismatch. The active-state highlighter maps sectionIds.indexOf(id) onto tocLinks[i] BY POSITION, so the two lists must be identical in entries, order and length.</t>
        </is>
      </c>
      <c r="D34" s="32" t="inlineStr">
        <is>
          <t>CLOSED — OI-38 closed 22 Jul 2026; all eleven files hold the contract</t>
        </is>
      </c>
      <c r="E34" s="32" t="inlineStr">
        <is>
          <t>22 Jul 2026</t>
        </is>
      </c>
      <c r="F34" s="32" t="inlineStr">
        <is>
          <t>Executed 22 Jul 2026 at pinned HEAD 79057fd8. FOUR of eleven files genuinely broken, all on the same "alerts" mismatch: 007 Mozambique, 008 Malawi and 009 Zimbabwe each carried an Alerts button absent from the array; 005 Kalahari had the inverse, 'alerts' in the array with no button. All four repaired, mastheads bumped 22 Jul. 010 Kenya was already correct and was NOT touched — the defect was not universal, contrary to the prediction logged when OI-38 was opened. Six files had been repaired earlier the same day during the OI-36 build (001, 002, 003, 004, 006, TEMPLATE). VALIDATION on all four: contract 20/20 with pairwise order verified, script-stripped div/span depth walks 0/0/0, ids unique, node --check clean. AUDIT METHOD — RECORDED BECAUSE TWO EXTRACTOR VERSIONS GAVE FALSE READINGS BEFORE THE THIRD WAS TRUSTED: compare sectionIds against the getElementById targets taken from every element carrying class="toc-link" — not against button LABELS, and with no assumption about element type or attribute order. 009 Zimbabwe uses &lt;span class="toc-link" onclick=...&gt; rather than &lt;a&gt; and read as zero buttons under the first pattern; a class-first pattern then missed every file where class is the last attribute and briefly showed nine of eleven as broken. Both artifacts were caught before being reported (working convention (d), verify before you write it down). JUDGEMENT CALL DISCLOSED: mastheads bumped but no per-profile changelog entries added — this is a silent-bug fix with nothing a reader would notice, and 007/008/009 do not carry the changelog anchor format used elsewhere. Owner to confirm whether every touched file should carry an entry regardless. Content-only — CACHE stays v24. Next free open item OI-39.</t>
        </is>
      </c>
    </row>
    <row r="35" s="21">
      <c r="A35" s="32" t="inlineStr">
        <is>
          <t>OI-38-CORRECTION</t>
        </is>
      </c>
      <c r="B35" s="32" t="inlineStr">
        <is>
          <t>Correction to the OI-38 sweep — the contract was misstated and three files were regressed</t>
        </is>
      </c>
      <c r="C35" s="32" t="inlineStr">
        <is>
          <t>Re-audit the TOC index contract including the toggle expression, repair the regression introduced by OI-38-SWEEP, and normalise the whole profile family onto a single convention.</t>
        </is>
      </c>
      <c r="D35" s="32" t="inlineStr">
        <is>
          <t>CORRECTED &amp; CLOSED — all eleven files on one rule; OI-39 opened for the changelog structure question</t>
        </is>
      </c>
      <c r="E35" s="32" t="inlineStr">
        <is>
          <t>22 Jul 2026</t>
        </is>
      </c>
      <c r="F35" s="32" t="inlineStr">
        <is>
          <t>SUPERSEDES THE FINDING RECORDED IN OI-38-SWEEP, which was wrong. The contract was taken to be "sectionIds mirrors the TOC buttons". That is only two of its three parts; the third is the TOGGLE EXPRESSION that consumes the pairing, and it was NOT uniform across the family. 001–006 and the template use i===idx; 007–010 used (i-1)===idx, under which an array that deliberately OMITS the leading Alerts button is CORRECT. CONSEQUENCE: 007 Mozambique, 008 Malawi and 009 Zimbabwe were correct before the sweep and were BROKEN BY IT (prepending 'alerts' put every section one button out); those three were pushed to the repo in that state. 005 Kalahari was genuinely broken and correctly fixed. 010 Kenya was genuinely broken, was never touched, and the original finding holds for it alone. ROOT CAUSE: a family-wide rule asserted from a sample without reading the consuming code in each file — the F65 error class (a plausible generalisation that reads as authority). The length-and-order check PASSED on all four regressed files, which is why it was not caught: the wrong invariant was being tested. REPAIR: normalised rather than reverted — toggle in 007/008/009/010 changed to i===idx, making the already-altered arrays correct and fixing 010 too. ALL ELEVEN files verified together: toggle i===idx, sectionIds identical to TOC targets in order and length, div/span walks 0/0/0, ids unique, node --check clean. SAME PASS, per owner ruling: changelog discipline applied — every masthead bump carries an entry, all profiles carry a changelog, dates normalised to ISO; entries added to 005, 007, 008, 009, 010 and the 010 masthead bumped. Content-currency badges deliberately untouched. A SECOND PROBE ERROR is recorded: testing for id="changelog" reported 009 and 010 as having no changelog, twice; they carry theirs as the final NUMBERED section rendered as a revision table. Structural divergence parked as OI-39. GOVERNANCE CORRECTED: PI header, PI TOC-contract rule (now three parts, not two), PI changelog conventions, OIR closed-log correction entry (wrong entry retained, marked superseded). Content-only — CACHE stays v24. Next free open item OI-40.</t>
        </is>
      </c>
    </row>
    <row r="36" s="21">
      <c r="A36" s="32" t="inlineStr">
        <is>
          <t>OI-37-MARKERS</t>
        </is>
      </c>
      <c r="B36" s="32" t="inlineStr">
        <is>
          <t>Data-freshness marker rollout across the whole profile family (OI-37 residual)</t>
        </is>
      </c>
      <c r="C36" s="32" t="inlineStr">
        <is>
          <t>Extend the "Data verified" marker from the five new §06 sections to every section in all ten profiles that carries prices, fees or security posture, and add the marker set to LC76_Profile_TEMPLATE.html so new profiles inherit it.</t>
        </is>
      </c>
      <c r="D36" s="32" t="inlineStr">
        <is>
          <t>CLOSED — OI-37 closed 22 Jul 2026</t>
        </is>
      </c>
      <c r="E36" s="32" t="inlineStr">
        <is>
          <t>22 Jul 2026</t>
        </is>
      </c>
      <c r="F36" s="32" t="inlineStr">
        <is>
          <t>69 markers inserted. Section set, uniform across the nine country profiles: Entry &amp; Visas, Border Crossings, Vehicle Documents, Fuel, Parts &amp; Serviceability, Security, Money &amp; Currency, National Parks &amp; Camping — 8 per profile. 005 Kalahari has 2 (Legal/Permits and Booking Matrix); it is a terrain profile with no border, visa or fuel-price sections. TEMPLATE given the full set with a [DATE] placeholder so the gap cannot recur — the §06 retrofit existed precisely because the template had drifted. METHOD NOTE: a keyword scan (currency codes, "fee", per-litre) was run to find candidates and then DISCARDED as the selector — it fired on phrase tables ("how much is the fee?") and on the Kenya changelog. Selection was made by judgement instead: the sections where a stale number costs money at a border, a park gate or a pump. A guard prevented double-marking the five §06 sections built earlier the same day. Changelog entries added to all ten profiles in each file's native format (grid rows for 001–008, table rows for 009/010) per the owner changelog ruling; all mastheads already at 22 Jul. VALIDATION on all eleven files: div/span walks 0/0/0, sectionIds identical to TOC targets, toggle i===idx, sec-num sequences unchanged, ids unique, node --check clean. CONSEQUENCE: EX-10 now has a countable worklist of 74 marked sections rather than an open-ended refresh instruction. Content-only — CACHE stays v24. Next free open item OI-40.</t>
        </is>
      </c>
    </row>
    <row r="37">
      <c r="A37" s="32" t="inlineStr">
        <is>
          <t>INS-SESSION-2</t>
        </is>
      </c>
      <c r="B37" s="32" t="inlineStr">
        <is>
          <t>Emergency doctrine &amp; insurance restructure — Session 2 (R29)</t>
        </is>
      </c>
      <c r="C37" s="32" t="inlineStr">
        <is>
          <t>Execute the 23 Jul handover pack Session 2: M1a emergency-number correction, M2 Vehicle Asset Cover, M3 medical-layer decoupling. M1b folded in after the owner supplied international-format numbers mid-session.</t>
        </is>
      </c>
      <c r="D37" s="32" t="inlineStr">
        <is>
          <t>CLOSED — Session 2 done; Session 3 (R10) remains chartered</t>
        </is>
      </c>
      <c r="E37" s="32" t="inlineStr">
        <is>
          <t>24 Jul 2026</t>
        </is>
      </c>
      <c r="F37" s="32" t="inlineStr">
        <is>
          <t>Executed 24 Jul 2026 at pinned HEAD 9ec82f01 (full-corpus tarball fetch; HEAD identical to the pack's pin — no drift). R29 119,658 -&gt; 141,622 chars. M1a: six anchored edits, all six unique on first attempt — the pack's warning that two might not be unique did not materialise; coverage complete (3x '082 911' and 3x '084 124', all six caught). M1b EXECUTED rather than deferred: owner supplied Netcare 911 EOC +27 11 301 0000 / +27 10 209 8911 and ER24 +27 10 205 3000 dispatch / +27 10 205 3588 aeromedical, read from provider websites 23 Jul. Graded PROVIDER-PUBLISHED, NOT VOICE-TESTED — recorded as such in R29 §6 and a satphone test-dial added to the RA-10 regime (OI-3); AMREF remains the only number with a confirmed satellite route. OI-40 opened and closed same day. M2: §13 Vehicle Asset Cover APPENDED, not inserted — decided on evidence, a corpus sweep found R29's section numbers ARE externally cited (§7 x11, §11 x11, §2 x3, §8 x3, §9 x1 across R10/R11/R16/R38/R41/Facts/PI), so renumbering would have broken all of them. Mirror image of the OI-36 profile decision where the same sweep returned zero. R35 §12 precedent. Content structurally complete with data slots explicitly flagged PENDING (R38 §4 skeleton precedent). M3: §6 four-layer medical stack + motor-benefit retain-but-never-rely-on warn-box + emergency-number master set; §5 five travel-insurance traps (age acceptance first); §11 AMREF corridor item promoted to a primary-layer gap, Day-85 row extended to the RETURN exposure. DISCLOSED EDIT BEYOND PACK SCOPE: the 22 Jul RA-1 undating had never been propagated — R29 §2, R11 and Facts §2 all still carried 'BEFORE the 3 Aug Karoo departure' two days after the deadline was withdrawn. Fixed in all three, Facts first as owner, PROVISIONAL clause added to each. R37's 3 Aug date checked and correctly left alone (RA-7, different action). NEW FINDINGS: OI-44 — R16 carries ER24 International +27 10 205 3068, matching neither confirmed line and with no provenance, and names 'Netcare 911 International' with no number; this CORRECTS the pack's Finding A claim of zero '+27' instances in the corpus. OI-42 extended — a SECOND byte-identical orphan, 'LC76 Open Items Register.txt', alongside the PI duplicate the pack recorded (md5 0ac404ac on both). VALIDATION: script-stripped div/span/table/tr/td/th/thead/tbody/p/li/ul depth walks 0/0/0 on R29, R11, R30, index; ids unique; node --check clean on all 5 inline script blocks; TOC contract 13 buttons = 13 .sa sections, all data-targets resolve; all 21 R30 R29-anchors resolve to real ids; stale sweep zero with presence assertions on every new number. R11/index '.sa = 0' verified as a validator assumption, pre-existing in the originals, not a defect. PROPAGATION: R30 desc + 9 topic rows; Library Register R29 rewritten; OIR header, OI-41/42/43/44, Controlled Duplication Register seeded, three closed-log entries; index header-meta + R29 card; mastheads R29/R11 24 Jul, Facts re-dated. Content-only — CACHE stays v24. Next free open item OI-45. Opus.</t>
        </is>
      </c>
    </row>
    <row r="38">
      <c r="A38" s="32" t="inlineStr">
        <is>
          <t>INS-SESSION-3</t>
        </is>
      </c>
      <c r="B38" s="32" t="inlineStr">
        <is>
          <t>Emergency doctrine &amp; insurance restructure — Session 3 (R10); PROGRAMME COMPLETE</t>
        </is>
      </c>
      <c r="C38" s="32" t="inlineStr">
        <is>
          <t>Execute the 23 Jul handover pack Session 3: M1a(R10) emergency-number correction and M4 drill content — ownership note, scripted handover, call-first doctrine, reciprocal pointer to the R29 four-layer stack.</t>
        </is>
      </c>
      <c r="D38" s="32" t="inlineStr">
        <is>
          <t>CLOSED — Sessions 1-3 all executed; programme complete</t>
        </is>
      </c>
      <c r="E38" s="32" t="inlineStr">
        <is>
          <t>24 Jul 2026</t>
        </is>
      </c>
      <c r="F38" s="32" t="inlineStr">
        <is>
          <t>Executed 24 Jul 2026 at pinned HEAD 0e4fac9a (re-pinned after the owner committed Session 2's nine files; landing verified file-by-file before proceeding — the first commit claim was checked against the raw main-branch copy and found NOT yet landed, so the session waited rather than editing against a stale HEAD). R10 90,429 -&gt; 94,804 chars. M1a: both anchors held first time. Netcare 911 EOC +27 11 301 0000 / +27 10 209 8911 and ER24 +27 10 205 3000 / +27 10 205 3588 written into the satphone step and the record-these list; 082 911 and 084 124 retained but labelled in-country-mobile-only and flagged as unroutable by Iridium/Inmarsat. M4: three cards added to §9 — ownership note on the R42/R10 fire pattern (R10 owns the drill, R29 owns the stack; if a number here disagrees with R29 §6, R29 wins and this page is wrong); THE HANDOVER, a fixed five-item call script in invariant order (caller + callback number, one-sentence what-happened, exact position read off the InReach and confirmed back, casualty count and condition, explicit request) — the highest-value element on an emergency card because under stress people narrate rather than report; and CALL FIRST, ARGUE COVER LATER with the reasoning recorded (the failure mode is a careful person behaving carefully; entitlement is recoverable, physiology is not). Four-layer medical model POINTED AT, not restated — one-owner rule upheld. PROCESS DEFECT DISCLOSED AND FIXED: an emoji written as a lone surrogate pair threw on encode AFTER open(...,'w') had truncated the target to zero bytes. No data lost — restored from the pinned SHA in one fetch, which is exactly what the pinning discipline is for — and the edit pattern was hardened the same session to encode-first-then-write-binary so a bad encode can never destroy the target before failing. CONTROLLED DUPLICATION REGISTER, first live use: all four named documents visited or deferred — R29 owner (Session 2), R10 aligned (this session), R1 deferred to OI-41, R16 deferred to OI-44, R38 SWEPT AND VERIFIED to carry zero emergency numbers and zero provider names, so it correctly needs no edit. VALIDATION: depth walks 0/0/0 across div/span/table/tr/td/th/thead/tbody/p/li/ul; 13 ids unique; 11 TOC targets all resolve; node --check clean; stale sweep zero with presence assertions on all five numbers. PROPAGATION: R30 R10 desc + 4 topic rows; index R10 card; OIR header, duplication-register exceptions, closed-log entry; masthead 24 Jul. Content-only — CACHE stays v24. Next free open item OI-45. Opus.</t>
        </is>
      </c>
    </row>
    <row r="39">
      <c r="A39" s="32" t="inlineStr">
        <is>
          <t>INS-OI41-OI44</t>
        </is>
      </c>
      <c r="B39" s="32" t="inlineStr">
        <is>
          <t>Emergency-number propagation completed — R1 (OI-41) and R16 (OI-44)</t>
        </is>
      </c>
      <c r="C39" s="32" t="inlineStr">
        <is>
          <t>Close the last two items of the emergency-doctrine programme: build the R1 emergency-number and first-action card, and correct the unprovenanced ER24 international number in R16. Both in one session — same fact, last two documents.</t>
        </is>
      </c>
      <c r="D39" s="32" t="inlineStr">
        <is>
          <t>CLOSED — emergency-numbers propagation list clean across all five documents</t>
        </is>
      </c>
      <c r="E39" s="32" t="inlineStr">
        <is>
          <t>24 Jul 2026</t>
        </is>
      </c>
      <c r="F39" s="32" t="inlineStr">
        <is>
          <t>Executed 24 Jul 2026 at pinned HEAD a14c426a (Session 3 push verified landed byte-identical file-by-file before re-pinning). R1 30,513 -&gt; 32,864 chars; R16 53,022 -&gt; 54,157 chars. OI-41: two red full-width cards inserted at the TOP of the R1 card grid, ahead of Vehicle Identity — MEDEVAC &amp; EMERGENCY NUMBERS (AMREF, Netcare 911 EOC, ER24 dispatch + aeromedical, all international; SA short-dial shown but marked in-country-mobile-only and flagged as not connecting from a satphone; fill-in lines for AMREF membership number and home anchor) and FIRST ACTION (InReach SOS, satphone call, the five-item handover in order, call-first-argue-cover-later, pointer to R10 §9). Placement reasoning: R1 is the EX-11 print-and-laminate door-pocket card, so emergency content goes first — the same stress-state principle as the 21 Jul index restructure. Card kept deliberately TERMINAL per the pack's tier model: numbers and first action only. OI-44: the unprovenanced 'ER24 International (+27 10 205 3068)' replaced with the verified set, and 'Netcare 911 International' — previously named with NO number at all — given its two EOC lines. RA-10 gained ITEM 10, the test-dial of each medevac number from the handset itself, which is the action that converts them from provider-published to proven. SELF-AUDIT CATCH, DISCLOSED: the first draft of the OIR closed-log entry quoted R1 and R16 end-of-edit char counts of 33,392 and 54,930. Both were WRONG — estimated rather than measured — and were caught by verifying them against the files before the entry stood. Corrected to 32,864 and 54,157. Same class as F65: a plausible number in a governance record reads as authority. Working convention (d) did its job. VALIDATION both files: depth walks 0/0/0 across div/span/table/tr/td/th/thead/tbody/p/li/ul; ids unique; TOC targets resolve; node --check clean; stale sweep zero ('205 3068' gone) with presence assertions on all five numbers and both ownership pointers. PROPAGATION: R30 R1 desc +2 topic rows, R16 desc +3 topic rows; index R1 and R16 cards; OIR header, OI-41 and OI-44 closed, Controlled Duplication Register exceptions now NONE; mastheads 24 Jul. Content-only — CACHE stays v24. Next free open item OI-45. Opus.</t>
        </is>
      </c>
    </row>
    <row r="40" s="21">
      <c r="A40" s="32" t="inlineStr">
        <is>
          <t>RA-4-RULING</t>
        </is>
      </c>
      <c r="B40" s="32" t="inlineStr">
        <is>
          <t>RA-4 rotating-electrics redundancy — owner ruling and propagation</t>
        </is>
      </c>
      <c r="C40" s="32" t="inlineStr">
        <is>
          <t>Obtain the owner ruling on RA-4 (complete spare alternator vs kit) and propagate it through the owning documents.</t>
        </is>
      </c>
      <c r="D40" s="32" t="inlineStr">
        <is>
          <t>CLOSED — ruled 24 Jul 2026; OI-45 closed, OI-46 opened</t>
        </is>
      </c>
      <c r="E40" s="32" t="inlineStr">
        <is>
          <t>24 Jul 2026</t>
        </is>
      </c>
      <c r="F40" s="32" t="inlineStr">
        <is>
          <t>OWNER RULING 24 Jul 2026: no complete spare alternator carried. Rationale recorded — 70-Series alternator is a commonly available part on the route, the unit is heavy and expensive, payload PROVISIONAL until RA-1. Carried redundancy: brush/regulator kit + starter contact/solenoid kit + spare V-belt set; replacement sourced en route. Executed at pinned HEAD 965b0962, owner document first. R32 (owns crank-battery doctrine) gained an expedition-consequence rule box: the alternator is the crank battery's ONLY charge source (solar and shore power serve the house bank, Orion is one-way, starting off the LiFePO4 is prohibited), so on alternator failure every charging path into the Willard fails and the ARB jump pack becomes the sole path to a start. R41 C1 chain-breaker rewritten from 'swap the unit' to 'detect early, limp somewhere recoverable, source en route'; R32 §8 checks (especially AC ripple for a failing diode pack) promoted to load-bearing; noted that the kit does NOT fix a diode pack. R31 CORRECTED — its claim that 'the refurbished stock unit also serves as the field spare' was a leftover from the REJECTED high-output alternator case; no displaced unit ever existed, so the library had asserted a spare that does not exist, in one document, propagated nowhere. R3 gained item 4.7 Alternator Brush &amp; Regulator Kit (belts 1.3 and starter solenoid 4.6 already carried). DEFECT FOUND AND FIXED IN THE SAME PASS: R41 C1 carried 'Emergency bridge: the house bank can jump the crank side in extremis', directly contradicting R32's explicit prohibition on starting off the LiFePO4. A cross-document contradiction on a life-of-the-vehicle procedure. Removed; R41 now points at R32 as owner. PROCESS DEFECT DISCLOSED: an edit script re-run after two partial anchor failures applied the R32 insertion TWICE (the anchor survived inside its own replacement, so the guard could not catch it). Detected by a post-edit count, R32 restored from the pinned SHA and re-applied once. LESSON: assert count==1 protects the anchor, not idempotence — a script that may be re-run must also assert the NEW content is absent before writing. VALIDATION: depth walks 0/0/0 across eleven tag types on R32, R41, R31, R3 and R30; ids unique; TOC targets resolve; node --check clean. ROLL-FORWARD on the OIR: declared -OI-45 +OI-46 +1 log entry; actual matched exactly, reconciled. PROPAGATION: R30 +3 topic rows; OIR header, OI-45 closed, OI-46 opened; mastheads R32/R41/R31/R3 24 Jul. Content-only — CACHE stays v24. Next free open item OI-47. Opus.</t>
        </is>
      </c>
    </row>
    <row r="41">
      <c r="A41" s="32" t="inlineStr">
        <is>
          <t>OI-111-WP-PASS</t>
        </is>
      </c>
      <c r="B41" s="32" t="inlineStr">
        <is>
          <t>Working-papers status pass — RA-1 / TA-002 flip + RA reconciliation</t>
        </is>
      </c>
      <c r="C41" s="32" t="inlineStr">
        <is>
          <t>Close RA-1 and TA-002 (loaded weighbridge done 10 Aug 2026), and bring every RA/EX row's status into line with the Open Items Register, which is master of status.</t>
        </is>
      </c>
      <c r="D41" s="32" t="inlineStr">
        <is>
          <t>CLOSED — OI-111 closed</t>
        </is>
      </c>
      <c r="E41" s="32" t="inlineStr">
        <is>
          <t>24 Sep 2026</t>
        </is>
      </c>
      <c r="F41" s="32" t="inlineStr">
        <is>
          <t>Executed 24 Sep 2026 at HEAD 24b704d4 (live file fetched SHA-pinned; identical to main). RA-1 -&gt; CLOSED (weighed 10 Aug 2026; OI-1). RA-4 -&gt; RULED 24 Jul 2026 with OI-68/OI-46 open. RA-9 -&gt; SET FITTED 17 Sep 2026, proving (OI-22), second spare open (OI-19). RA-2/3/5/6/7/8/10 and EX-8..11 confirmed still open; each row now names its live register item. TA_Register: TA-002 -&gt; Closed; TA-038 blank status -&gt; Closed to match its verdict. Append-only: no existing text removed. COUNTIF formula-cell baseline 9 preserved; recalc.py not run (the workbook recalculates on open); testzip None.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31" t="inlineStr">
        <is>
          <t>#</t>
        </is>
      </c>
      <c r="B1" s="31" t="inlineStr">
        <is>
          <t>Instrument</t>
        </is>
      </c>
      <c r="C1" s="31" t="inlineStr">
        <is>
          <t>Class</t>
        </is>
      </c>
      <c r="D1" s="31" t="inlineStr">
        <is>
          <t>Open/flagged rows</t>
        </is>
      </c>
      <c r="E1" s="31" t="inlineStr">
        <is>
          <t>Adjudication</t>
        </is>
      </c>
      <c r="F1" s="31" t="inlineStr">
        <is>
          <t>In charter §6?</t>
        </is>
      </c>
    </row>
    <row r="2">
      <c r="A2" s="20" t="n">
        <v>1</v>
      </c>
      <c r="B2" s="20" t="inlineStr">
        <is>
          <t>LC76_Open_Items_Register.txt</t>
        </is>
      </c>
      <c r="C2" s="20" t="inlineStr">
        <is>
          <t>MASTER</t>
        </is>
      </c>
      <c r="D2" s="20" t="inlineStr">
        <is>
          <t>40 open · 61 closed-log</t>
        </is>
      </c>
      <c r="E2" s="20" t="inlineStr">
        <is>
          <t>Master of status; 40 entries parsed</t>
        </is>
      </c>
      <c r="F2" s="20" t="inlineStr">
        <is>
          <t>Yes (1)</t>
        </is>
      </c>
    </row>
    <row r="3">
      <c r="A3" s="20" t="n">
        <v>2</v>
      </c>
      <c r="B3" s="20" t="inlineStr">
        <is>
          <t>WP · TA_Register</t>
        </is>
      </c>
      <c r="C3" s="20" t="inlineStr">
        <is>
          <t>FEEDER-LIVE</t>
        </is>
      </c>
      <c r="D3" s="20" t="inlineStr">
        <is>
          <t>5 (1 Open + 4 advisory)</t>
        </is>
      </c>
      <c r="E3" s="20" t="inlineStr">
        <is>
          <t>All 5 trace via refs</t>
        </is>
      </c>
      <c r="F3" s="20" t="inlineStr">
        <is>
          <t>Yes (2)</t>
        </is>
      </c>
    </row>
    <row r="4">
      <c r="A4" s="20" t="n">
        <v>3</v>
      </c>
      <c r="B4" s="20" t="inlineStr">
        <is>
          <t>WP · EX_Register</t>
        </is>
      </c>
      <c r="C4" s="20" t="inlineStr">
        <is>
          <t>FEEDER-LIVE</t>
        </is>
      </c>
      <c r="D4" s="20" t="inlineStr">
        <is>
          <t>14 open/pending + 3 annotation</t>
        </is>
      </c>
      <c r="E4" s="20" t="inlineStr">
        <is>
          <t>All 14 trace; RA-4 row status contradicts 24 Jul ruling; RA-1 row carries withdrawn deadline text</t>
        </is>
      </c>
      <c r="F4" s="20" t="inlineStr">
        <is>
          <t>Yes (3)</t>
        </is>
      </c>
    </row>
    <row r="5">
      <c r="A5" s="20" t="n">
        <v>4</v>
      </c>
      <c r="B5" s="20" t="inlineStr">
        <is>
          <t>WP · Concordance</t>
        </is>
      </c>
      <c r="C5" s="20" t="inlineStr">
        <is>
          <t>FEEDER-LIVE</t>
        </is>
      </c>
      <c r="D5" s="20" t="inlineStr">
        <is>
          <t>9 flagged</t>
        </is>
      </c>
      <c r="E5" s="20" t="inlineStr">
        <is>
          <t>2 trace to OI-1; 4 WP-internal (no OI); 1 candidate-stale vs RS COMPLETE; 2 closed-noise</t>
        </is>
      </c>
      <c r="F5" s="20" t="inlineStr">
        <is>
          <t>Yes (4)</t>
        </is>
      </c>
    </row>
    <row r="6">
      <c r="A6" s="20" t="n">
        <v>5</v>
      </c>
      <c r="B6" s="20" t="inlineStr">
        <is>
          <t>Service workbook · Advisories</t>
        </is>
      </c>
      <c r="C6" s="20" t="inlineStr">
        <is>
          <t>FEEDER-LIVE (S1 capture)</t>
        </is>
      </c>
      <c r="D6" s="20" t="inlineStr">
        <is>
          <t>12, all OPEN</t>
        </is>
      </c>
      <c r="E6" s="20" t="inlineStr">
        <is>
          <t>12/12 carry OI refs, all refs open — healthiest feeder</t>
        </is>
      </c>
      <c r="F6" s="20" t="inlineStr">
        <is>
          <t>Yes (5)</t>
        </is>
      </c>
    </row>
    <row r="7">
      <c r="A7" s="20" t="n">
        <v>6</v>
      </c>
      <c r="B7" s="20" t="inlineStr">
        <is>
          <t>R8 Service History §2</t>
        </is>
      </c>
      <c r="C7" s="20" t="inlineStr">
        <is>
          <t>FEEDER-LIVE</t>
        </is>
      </c>
      <c r="D7" s="20" t="inlineStr">
        <is>
          <t>MONITOR + Critical Outstanding</t>
        </is>
      </c>
      <c r="E7" s="20" t="inlineStr">
        <is>
          <t>All subjects present in Advisories/OIR (OI-61/62/63/64/6/66/11)</t>
        </is>
      </c>
      <c r="F7" s="20" t="inlineStr">
        <is>
          <t>Yes (6)</t>
        </is>
      </c>
    </row>
    <row r="8">
      <c r="A8" s="20" t="n">
        <v>7</v>
      </c>
      <c r="B8" s="20" t="inlineStr">
        <is>
          <t>Service Checklist OUTSTANDING</t>
        </is>
      </c>
      <c r="C8" s="20" t="inlineStr">
        <is>
          <t>FEEDER-LIVE (S2 capture)</t>
        </is>
      </c>
      <c r="D8" s="20" t="inlineStr">
        <is>
          <t>4</t>
        </is>
      </c>
      <c r="E8" s="20" t="inlineStr">
        <is>
          <t>All src-tagged (ADV) + OI-reffed (11/64/66), all open — post-OI-67 state clean</t>
        </is>
      </c>
      <c r="F8" s="20" t="inlineStr">
        <is>
          <t>Yes (7)</t>
        </is>
      </c>
    </row>
    <row r="9">
      <c r="A9" s="20" t="n">
        <v>8</v>
      </c>
      <c r="B9" s="20" t="inlineStr">
        <is>
          <t>Three audit HTML (F-series)</t>
        </is>
      </c>
      <c r="C9" s="20" t="inlineStr">
        <is>
          <t>FEEDER-LIVE</t>
        </is>
      </c>
      <c r="D9" s="20" t="inlineStr">
        <is>
          <t>candidate residuals: Jun F5,F6,F9,F10 · Content F72,F73</t>
        </is>
      </c>
      <c r="E9" s="20" t="inlineStr">
        <is>
          <t>Heuristic context-signal only — confirm in Session 2/3 fieldwork</t>
        </is>
      </c>
      <c r="F9" s="20" t="inlineStr">
        <is>
          <t>Yes (8)</t>
        </is>
      </c>
    </row>
    <row r="10">
      <c r="A10" s="20" t="n">
        <v>9</v>
      </c>
      <c r="B10" s="20" t="inlineStr">
        <is>
          <t>PI header narrative</t>
        </is>
      </c>
      <c r="C10" s="20" t="inlineStr">
        <is>
          <t>CARRIER</t>
        </is>
      </c>
      <c r="D10" s="20" t="inlineStr">
        <is>
          <t>0 attached status claims</t>
        </is>
      </c>
      <c r="E10" s="20" t="inlineStr">
        <is>
          <t>Clean under the 28 Jul tight probe</t>
        </is>
      </c>
      <c r="F10" s="20" t="inlineStr">
        <is>
          <t>Yes (9)</t>
        </is>
      </c>
    </row>
    <row r="11">
      <c r="A11" s="20" t="n">
        <v>10</v>
      </c>
      <c r="B11" s="20" t="inlineStr">
        <is>
          <t>LC76_Facts.txt §3</t>
        </is>
      </c>
      <c r="C11" s="20" t="inlineStr">
        <is>
          <t>FEEDER-LIVE — NEW</t>
        </is>
      </c>
      <c r="D11" s="20" t="inlineStr">
        <is>
          <t>11 bullets (4 no-record · 6 monitors · 1 no-action)</t>
        </is>
      </c>
      <c r="E11" s="20" t="inlineStr">
        <is>
          <t>SWEEP YIELD. Parallel status list inside the figures master; subjects trace to OI-61/62/63/64/6; tension with mastership map (Facts = figures, not status)</t>
        </is>
      </c>
      <c r="F11" s="20" t="inlineStr">
        <is>
          <t>NO</t>
        </is>
      </c>
    </row>
    <row r="12">
      <c r="A12" s="20" t="n">
        <v>11</v>
      </c>
      <c r="B12" s="20" t="inlineStr">
        <is>
          <t>R37 Crew Readiness Register</t>
        </is>
      </c>
      <c r="C12" s="20" t="inlineStr">
        <is>
          <t>FEEDER-LIVE — NEW (S4 home)</t>
        </is>
      </c>
      <c r="D12" s="20" t="inlineStr">
        <is>
          <t>10 OUTSTANDING</t>
        </is>
      </c>
      <c r="E12" s="20" t="inlineStr">
        <is>
          <t>SWEEP YIELD. Sub-register under RA-6/RA-8/RA-10 umbrellas; legitimate S4 capture point</t>
        </is>
      </c>
      <c r="F12" s="20" t="inlineStr">
        <is>
          <t>NO</t>
        </is>
      </c>
    </row>
    <row r="13">
      <c r="A13" s="20" t="n">
        <v>12</v>
      </c>
      <c r="B13" s="20" t="inlineStr">
        <is>
          <t>R31 Upgrade Assessment</t>
        </is>
      </c>
      <c r="C13" s="20" t="inlineStr">
        <is>
          <t>FEEDER-LIVE — NEW</t>
        </is>
      </c>
      <c r="D13" s="20" t="inlineStr">
        <is>
          <t>2 PLANNED</t>
        </is>
      </c>
      <c r="E13" s="20" t="inlineStr">
        <is>
          <t>SWEEP YIELD. Status table; both trace (OI-11; RA-9/OI-22)</t>
        </is>
      </c>
      <c r="F13" s="20" t="inlineStr">
        <is>
          <t>NO</t>
        </is>
      </c>
    </row>
    <row r="14">
      <c r="A14" s="20" t="n">
        <v>13</v>
      </c>
      <c r="B14" s="20" t="inlineStr">
        <is>
          <t>R29 / R16 / R3 / R23</t>
        </is>
      </c>
      <c r="C14" s="20" t="inlineStr">
        <is>
          <t>CARRIER</t>
        </is>
      </c>
      <c r="D14" s="20" t="inlineStr">
        <is>
          <t>pointered claims</t>
        </is>
      </c>
      <c r="E14" s="20" t="inlineStr">
        <is>
          <t>Status claims each name an OI/RA — controlled copies, trace-tested</t>
        </is>
      </c>
      <c r="F14" s="20" t="inlineStr">
        <is>
          <t>No</t>
        </is>
      </c>
    </row>
    <row r="15">
      <c r="A15" s="20" t="n">
        <v>14</v>
      </c>
      <c r="B15" s="20" t="inlineStr">
        <is>
          <t>Open Items Dashboard</t>
        </is>
      </c>
      <c r="C15" s="20" t="inlineStr">
        <is>
          <t>DERIVED VIEW</t>
        </is>
      </c>
      <c r="D15" s="20" t="inlineStr">
        <is>
          <t>40 articles</t>
        </is>
      </c>
      <c r="E15" s="20" t="inlineStr">
        <is>
          <t>Mirror of register in data-text attrs; self-describes as pointers; unwired</t>
        </is>
      </c>
      <c r="F15" s="20" t="inlineStr">
        <is>
          <t>No</t>
        </is>
      </c>
    </row>
    <row r="16">
      <c r="A16" s="20" t="n">
        <v>15</v>
      </c>
      <c r="B16" s="20" t="inlineStr">
        <is>
          <t>EX Programme Handover.txt</t>
        </is>
      </c>
      <c r="C16" s="20" t="inlineStr">
        <is>
          <t>FROZEN SNAPSHOT</t>
        </is>
      </c>
      <c r="D16" s="20" t="inlineStr">
        <is>
          <t>12 stale PENDING (4 Jul)</t>
        </is>
      </c>
      <c r="E16" s="20" t="inlineStr">
        <is>
          <t>Statuses superseded by execution; also sits in project knowledge — OI-49 staleness class; owner disposition needed</t>
        </is>
      </c>
      <c r="F16" s="20" t="inlineStr">
        <is>
          <t>No</t>
        </is>
      </c>
    </row>
    <row r="17">
      <c r="A17" s="20" t="n">
        <v>16</v>
      </c>
      <c r="B17" s="20" t="inlineStr">
        <is>
          <t>PI Doctrine Promotion Ledger</t>
        </is>
      </c>
      <c r="C17" s="20" t="inlineStr">
        <is>
          <t>ARCHIVE</t>
        </is>
      </c>
      <c r="D17" s="20" t="inlineStr">
        <is>
          <t>0 live</t>
        </is>
      </c>
      <c r="E17" s="20" t="inlineStr">
        <is>
          <t>Self-records promotions applied (anchored, count==1)</t>
        </is>
      </c>
      <c r="F17" s="20" t="inlineStr">
        <is>
          <t>No</t>
        </is>
      </c>
    </row>
    <row r="18">
      <c r="A18" s="20" t="n">
        <v>17</v>
      </c>
      <c r="B18" s="20" t="inlineStr">
        <is>
          <t>Footer Audit 2026-07.md</t>
        </is>
      </c>
      <c r="C18" s="20" t="inlineStr">
        <is>
          <t>ARCHIVE</t>
        </is>
      </c>
      <c r="D18" s="20" t="inlineStr">
        <is>
          <t>0 live</t>
        </is>
      </c>
      <c r="E18" s="20" t="inlineStr">
        <is>
          <t>8 Jul programme closed</t>
        </is>
      </c>
      <c r="F18" s="20" t="inlineStr">
        <is>
          <t>No</t>
        </is>
      </c>
    </row>
    <row r="19">
      <c r="A19" s="20" t="n">
        <v>18</v>
      </c>
      <c r="B19" s="20" t="inlineStr">
        <is>
          <t>Session History.txt</t>
        </is>
      </c>
      <c r="C19" s="20" t="inlineStr">
        <is>
          <t>ARCHIVE</t>
        </is>
      </c>
      <c r="D19" s="20" t="inlineStr">
        <is>
          <t>narrative only</t>
        </is>
      </c>
      <c r="E19" s="20" t="inlineStr">
        <is>
          <t>Nothing live by precedence rule</t>
        </is>
      </c>
      <c r="F19" s="20" t="inlineStr">
        <is>
          <t>No</t>
        </is>
      </c>
    </row>
    <row r="20">
      <c r="A20" s="20" t="n">
        <v>19</v>
      </c>
      <c r="B20" s="20" t="inlineStr">
        <is>
          <t>Country/terrain profiles ×10</t>
        </is>
      </c>
      <c r="C20" s="20" t="inlineStr">
        <is>
          <t>EXCLUDED</t>
        </is>
      </c>
      <c r="D20" s="20" t="inlineStr">
        <is>
          <t>freshness markers + alerts</t>
        </is>
      </c>
      <c r="E20" s="20" t="inlineStr">
        <is>
          <t>Data-provenance class, not obligations; keyword hits adjudicated adjectival/border-gate</t>
        </is>
      </c>
      <c r="F20" s="20" t="inlineStr">
        <is>
          <t>No</t>
        </is>
      </c>
    </row>
    <row r="21">
      <c r="A21" s="20" t="n">
        <v>20</v>
      </c>
      <c r="B21" s="20" t="inlineStr">
        <is>
          <t>Insurance_Enquiry_Letter.docx</t>
        </is>
      </c>
      <c r="C21" s="20" t="inlineStr">
        <is>
          <t>UNREGISTERED FILE</t>
        </is>
      </c>
      <c r="D21" s="20" t="inlineStr">
        <is>
          <t>n/a (not status class)</t>
        </is>
      </c>
      <c r="E21" s="20" t="inlineStr">
        <is>
          <t>SWEEP YIELD. Zero mentions in Library Register/PI/OIR/index/history; carries initial+surname forms of both crew names in the public repo — personal-data class; OWNER RULING REQUIRED</t>
        </is>
      </c>
      <c r="F21" s="20" t="inlineStr">
        <is>
          <t>No</t>
        </is>
      </c>
    </row>
    <row r="22">
      <c r="A22" s="20" t="n">
        <v>21</v>
      </c>
      <c r="B22" s="20" t="inlineStr">
        <is>
          <t>Service workbook · Schedule stub</t>
        </is>
      </c>
      <c r="C22" s="20" t="inlineStr">
        <is>
          <t>RESOLVED</t>
        </is>
      </c>
      <c r="D22" s="20" t="inlineStr">
        <is>
          <t>—</t>
        </is>
      </c>
      <c r="E22" s="20" t="inlineStr">
        <is>
          <t>Deleted between sessions — charter F-K actioned by owner</t>
        </is>
      </c>
      <c r="F22" s="20" t="inlineStr">
        <is>
          <t>was F-K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sheetData>
    <row r="1">
      <c r="A1" s="31" t="inlineStr">
        <is>
          <t>Direction</t>
        </is>
      </c>
      <c r="B1" s="31" t="inlineStr">
        <is>
          <t>Row / Entry</t>
        </is>
      </c>
      <c r="C1" s="31" t="inlineStr">
        <is>
          <t>Traces to</t>
        </is>
      </c>
      <c r="D1" s="31" t="inlineStr">
        <is>
          <t>Result</t>
        </is>
      </c>
    </row>
    <row r="2">
      <c r="A2" s="20" t="inlineStr">
        <is>
          <t>Feeder→Reg</t>
        </is>
      </c>
      <c r="B2" s="20" t="inlineStr">
        <is>
          <t>TA-002</t>
        </is>
      </c>
      <c r="C2" s="20" t="inlineStr">
        <is>
          <t>via OIR refs</t>
        </is>
      </c>
      <c r="D2" s="20" t="inlineStr">
        <is>
          <t>TRACED</t>
        </is>
      </c>
    </row>
    <row r="3">
      <c r="A3" s="20" t="inlineStr">
        <is>
          <t>Feeder→Reg</t>
        </is>
      </c>
      <c r="B3" s="20" t="inlineStr">
        <is>
          <t>TA-007</t>
        </is>
      </c>
      <c r="C3" s="20" t="inlineStr">
        <is>
          <t>via OIR refs</t>
        </is>
      </c>
      <c r="D3" s="20" t="inlineStr">
        <is>
          <t>TRACED</t>
        </is>
      </c>
    </row>
    <row r="4">
      <c r="A4" s="20" t="inlineStr">
        <is>
          <t>Feeder→Reg</t>
        </is>
      </c>
      <c r="B4" s="20" t="inlineStr">
        <is>
          <t>TA-008</t>
        </is>
      </c>
      <c r="C4" s="20" t="inlineStr">
        <is>
          <t>via OIR refs</t>
        </is>
      </c>
      <c r="D4" s="20" t="inlineStr">
        <is>
          <t>TRACED</t>
        </is>
      </c>
    </row>
    <row r="5">
      <c r="A5" s="20" t="inlineStr">
        <is>
          <t>Feeder→Reg</t>
        </is>
      </c>
      <c r="B5" s="20" t="inlineStr">
        <is>
          <t>TA-009</t>
        </is>
      </c>
      <c r="C5" s="20" t="inlineStr">
        <is>
          <t>via OIR refs</t>
        </is>
      </c>
      <c r="D5" s="20" t="inlineStr">
        <is>
          <t>TRACED</t>
        </is>
      </c>
    </row>
    <row r="6">
      <c r="A6" s="20" t="inlineStr">
        <is>
          <t>Feeder→Reg</t>
        </is>
      </c>
      <c r="B6" s="20" t="inlineStr">
        <is>
          <t>TA-010</t>
        </is>
      </c>
      <c r="C6" s="20" t="inlineStr">
        <is>
          <t>via OIR refs</t>
        </is>
      </c>
      <c r="D6" s="20" t="inlineStr">
        <is>
          <t>TRACED</t>
        </is>
      </c>
    </row>
    <row r="7">
      <c r="A7" s="20" t="inlineStr">
        <is>
          <t>Feeder→Reg</t>
        </is>
      </c>
      <c r="B7" s="20" t="inlineStr">
        <is>
          <t>EX-8</t>
        </is>
      </c>
      <c r="C7" s="20" t="inlineStr">
        <is>
          <t>via OIR refs</t>
        </is>
      </c>
      <c r="D7" s="20" t="inlineStr">
        <is>
          <t>TRACED</t>
        </is>
      </c>
    </row>
    <row r="8">
      <c r="A8" s="20" t="inlineStr">
        <is>
          <t>Feeder→Reg</t>
        </is>
      </c>
      <c r="B8" s="20" t="inlineStr">
        <is>
          <t>EX-9</t>
        </is>
      </c>
      <c r="C8" s="20" t="inlineStr">
        <is>
          <t>via OIR refs</t>
        </is>
      </c>
      <c r="D8" s="20" t="inlineStr">
        <is>
          <t>TRACED</t>
        </is>
      </c>
    </row>
    <row r="9">
      <c r="A9" s="20" t="inlineStr">
        <is>
          <t>Feeder→Reg</t>
        </is>
      </c>
      <c r="B9" s="20" t="inlineStr">
        <is>
          <t>EX-10</t>
        </is>
      </c>
      <c r="C9" s="20" t="inlineStr">
        <is>
          <t>via OIR refs</t>
        </is>
      </c>
      <c r="D9" s="20" t="inlineStr">
        <is>
          <t>TRACED</t>
        </is>
      </c>
    </row>
    <row r="10">
      <c r="A10" s="20" t="inlineStr">
        <is>
          <t>Feeder→Reg</t>
        </is>
      </c>
      <c r="B10" s="20" t="inlineStr">
        <is>
          <t>EX-11</t>
        </is>
      </c>
      <c r="C10" s="20" t="inlineStr">
        <is>
          <t>via OIR refs</t>
        </is>
      </c>
      <c r="D10" s="20" t="inlineStr">
        <is>
          <t>TRACED</t>
        </is>
      </c>
    </row>
    <row r="11">
      <c r="A11" s="20" t="inlineStr">
        <is>
          <t>Feeder→Reg</t>
        </is>
      </c>
      <c r="B11" s="20" t="inlineStr">
        <is>
          <t>RA-1</t>
        </is>
      </c>
      <c r="C11" s="20" t="inlineStr">
        <is>
          <t>via OIR refs</t>
        </is>
      </c>
      <c r="D11" s="20" t="inlineStr">
        <is>
          <t>TRACED</t>
        </is>
      </c>
    </row>
    <row r="12">
      <c r="A12" s="20" t="inlineStr">
        <is>
          <t>Feeder→Reg</t>
        </is>
      </c>
      <c r="B12" s="20" t="inlineStr">
        <is>
          <t>RA-2</t>
        </is>
      </c>
      <c r="C12" s="20" t="inlineStr">
        <is>
          <t>via OIR refs</t>
        </is>
      </c>
      <c r="D12" s="20" t="inlineStr">
        <is>
          <t>TRACED</t>
        </is>
      </c>
    </row>
    <row r="13">
      <c r="A13" s="20" t="inlineStr">
        <is>
          <t>Feeder→Reg</t>
        </is>
      </c>
      <c r="B13" s="20" t="inlineStr">
        <is>
          <t>RA-3</t>
        </is>
      </c>
      <c r="C13" s="20" t="inlineStr">
        <is>
          <t>via OIR refs</t>
        </is>
      </c>
      <c r="D13" s="20" t="inlineStr">
        <is>
          <t>TRACED</t>
        </is>
      </c>
    </row>
    <row r="14">
      <c r="A14" s="20" t="inlineStr">
        <is>
          <t>Feeder→Reg</t>
        </is>
      </c>
      <c r="B14" s="20" t="inlineStr">
        <is>
          <t>RA-4</t>
        </is>
      </c>
      <c r="C14" s="20" t="inlineStr">
        <is>
          <t>via OIR refs</t>
        </is>
      </c>
      <c r="D14" s="20" t="inlineStr">
        <is>
          <t>TRACED</t>
        </is>
      </c>
    </row>
    <row r="15">
      <c r="A15" s="20" t="inlineStr">
        <is>
          <t>Feeder→Reg</t>
        </is>
      </c>
      <c r="B15" s="20" t="inlineStr">
        <is>
          <t>RA-5</t>
        </is>
      </c>
      <c r="C15" s="20" t="inlineStr">
        <is>
          <t>via OIR refs</t>
        </is>
      </c>
      <c r="D15" s="20" t="inlineStr">
        <is>
          <t>TRACED</t>
        </is>
      </c>
    </row>
    <row r="16">
      <c r="A16" s="20" t="inlineStr">
        <is>
          <t>Feeder→Reg</t>
        </is>
      </c>
      <c r="B16" s="20" t="inlineStr">
        <is>
          <t>RA-6</t>
        </is>
      </c>
      <c r="C16" s="20" t="inlineStr">
        <is>
          <t>via OIR refs</t>
        </is>
      </c>
      <c r="D16" s="20" t="inlineStr">
        <is>
          <t>TRACED</t>
        </is>
      </c>
    </row>
    <row r="17">
      <c r="A17" s="20" t="inlineStr">
        <is>
          <t>Feeder→Reg</t>
        </is>
      </c>
      <c r="B17" s="20" t="inlineStr">
        <is>
          <t>RA-7</t>
        </is>
      </c>
      <c r="C17" s="20" t="inlineStr">
        <is>
          <t>via OIR refs</t>
        </is>
      </c>
      <c r="D17" s="20" t="inlineStr">
        <is>
          <t>TRACED</t>
        </is>
      </c>
    </row>
    <row r="18">
      <c r="A18" s="20" t="inlineStr">
        <is>
          <t>Feeder→Reg</t>
        </is>
      </c>
      <c r="B18" s="20" t="inlineStr">
        <is>
          <t>RA-8</t>
        </is>
      </c>
      <c r="C18" s="20" t="inlineStr">
        <is>
          <t>via OIR refs</t>
        </is>
      </c>
      <c r="D18" s="20" t="inlineStr">
        <is>
          <t>TRACED</t>
        </is>
      </c>
    </row>
    <row r="19">
      <c r="A19" s="20" t="inlineStr">
        <is>
          <t>Feeder→Reg</t>
        </is>
      </c>
      <c r="B19" s="20" t="inlineStr">
        <is>
          <t>RA-9</t>
        </is>
      </c>
      <c r="C19" s="20" t="inlineStr">
        <is>
          <t>via OIR refs</t>
        </is>
      </c>
      <c r="D19" s="20" t="inlineStr">
        <is>
          <t>TRACED</t>
        </is>
      </c>
    </row>
    <row r="20">
      <c r="A20" s="20" t="inlineStr">
        <is>
          <t>Feeder→Reg</t>
        </is>
      </c>
      <c r="B20" s="20" t="inlineStr">
        <is>
          <t>RA-10</t>
        </is>
      </c>
      <c r="C20" s="20" t="inlineStr">
        <is>
          <t>via OIR refs</t>
        </is>
      </c>
      <c r="D20" s="20" t="inlineStr">
        <is>
          <t>TRACED</t>
        </is>
      </c>
    </row>
    <row r="21">
      <c r="A21" s="20" t="inlineStr">
        <is>
          <t>Feeder→Reg</t>
        </is>
      </c>
      <c r="B21" s="20" t="inlineStr">
        <is>
          <t>ADV-001</t>
        </is>
      </c>
      <c r="C21" s="20" t="inlineStr">
        <is>
          <t>OI-61</t>
        </is>
      </c>
      <c r="D21" s="20" t="inlineStr">
        <is>
          <t>TRACED (explicit ref, open)</t>
        </is>
      </c>
    </row>
    <row r="22">
      <c r="A22" s="20" t="inlineStr">
        <is>
          <t>Feeder→Reg</t>
        </is>
      </c>
      <c r="B22" s="20" t="inlineStr">
        <is>
          <t>ADV-002</t>
        </is>
      </c>
      <c r="C22" s="20" t="inlineStr">
        <is>
          <t>OI-61</t>
        </is>
      </c>
      <c r="D22" s="20" t="inlineStr">
        <is>
          <t>TRACED (explicit ref, open)</t>
        </is>
      </c>
    </row>
    <row r="23">
      <c r="A23" s="20" t="inlineStr">
        <is>
          <t>Feeder→Reg</t>
        </is>
      </c>
      <c r="B23" s="20" t="inlineStr">
        <is>
          <t>ADV-003</t>
        </is>
      </c>
      <c r="C23" s="20" t="inlineStr">
        <is>
          <t>OI-62</t>
        </is>
      </c>
      <c r="D23" s="20" t="inlineStr">
        <is>
          <t>TRACED (explicit ref, open)</t>
        </is>
      </c>
    </row>
    <row r="24">
      <c r="A24" s="20" t="inlineStr">
        <is>
          <t>Feeder→Reg</t>
        </is>
      </c>
      <c r="B24" s="20" t="inlineStr">
        <is>
          <t>ADV-004</t>
        </is>
      </c>
      <c r="C24" s="20" t="inlineStr">
        <is>
          <t>OI-6</t>
        </is>
      </c>
      <c r="D24" s="20" t="inlineStr">
        <is>
          <t>TRACED (explicit ref, open)</t>
        </is>
      </c>
    </row>
    <row r="25">
      <c r="A25" s="20" t="inlineStr">
        <is>
          <t>Feeder→Reg</t>
        </is>
      </c>
      <c r="B25" s="20" t="inlineStr">
        <is>
          <t>ADV-006</t>
        </is>
      </c>
      <c r="C25" s="20" t="inlineStr">
        <is>
          <t>OI-62</t>
        </is>
      </c>
      <c r="D25" s="20" t="inlineStr">
        <is>
          <t>TRACED (explicit ref, open)</t>
        </is>
      </c>
    </row>
    <row r="26">
      <c r="A26" s="20" t="inlineStr">
        <is>
          <t>Feeder→Reg</t>
        </is>
      </c>
      <c r="B26" s="20" t="inlineStr">
        <is>
          <t>ADV-007</t>
        </is>
      </c>
      <c r="C26" s="20" t="inlineStr">
        <is>
          <t>OI-63</t>
        </is>
      </c>
      <c r="D26" s="20" t="inlineStr">
        <is>
          <t>TRACED (explicit ref, open)</t>
        </is>
      </c>
    </row>
    <row r="27">
      <c r="A27" s="20" t="inlineStr">
        <is>
          <t>Feeder→Reg</t>
        </is>
      </c>
      <c r="B27" s="20" t="inlineStr">
        <is>
          <t>ADV-008</t>
        </is>
      </c>
      <c r="C27" s="20" t="inlineStr">
        <is>
          <t>OI-64</t>
        </is>
      </c>
      <c r="D27" s="20" t="inlineStr">
        <is>
          <t>TRACED (explicit ref, open)</t>
        </is>
      </c>
    </row>
    <row r="28">
      <c r="A28" s="20" t="inlineStr">
        <is>
          <t>Feeder→Reg</t>
        </is>
      </c>
      <c r="B28" s="20" t="inlineStr">
        <is>
          <t>ADV-009</t>
        </is>
      </c>
      <c r="C28" s="20" t="inlineStr">
        <is>
          <t>OI-62</t>
        </is>
      </c>
      <c r="D28" s="20" t="inlineStr">
        <is>
          <t>TRACED (explicit ref, open)</t>
        </is>
      </c>
    </row>
    <row r="29">
      <c r="A29" s="20" t="inlineStr">
        <is>
          <t>Feeder→Reg</t>
        </is>
      </c>
      <c r="B29" s="20" t="inlineStr">
        <is>
          <t>ADV-010</t>
        </is>
      </c>
      <c r="C29" s="20" t="inlineStr">
        <is>
          <t>OI-7</t>
        </is>
      </c>
      <c r="D29" s="20" t="inlineStr">
        <is>
          <t>TRACED (explicit ref, open)</t>
        </is>
      </c>
    </row>
    <row r="30">
      <c r="A30" s="20" t="inlineStr">
        <is>
          <t>Feeder→Reg</t>
        </is>
      </c>
      <c r="B30" s="20" t="inlineStr">
        <is>
          <t>ADV-011</t>
        </is>
      </c>
      <c r="C30" s="20" t="inlineStr">
        <is>
          <t>OI-66</t>
        </is>
      </c>
      <c r="D30" s="20" t="inlineStr">
        <is>
          <t>TRACED (explicit ref, open)</t>
        </is>
      </c>
    </row>
    <row r="31">
      <c r="A31" s="20" t="inlineStr">
        <is>
          <t>Feeder→Reg</t>
        </is>
      </c>
      <c r="B31" s="20" t="inlineStr">
        <is>
          <t>ADV-012</t>
        </is>
      </c>
      <c r="C31" s="20" t="inlineStr">
        <is>
          <t>OI-66</t>
        </is>
      </c>
      <c r="D31" s="20" t="inlineStr">
        <is>
          <t>TRACED (explicit ref, open)</t>
        </is>
      </c>
    </row>
    <row r="32">
      <c r="A32" s="20" t="inlineStr">
        <is>
          <t>Feeder→Reg</t>
        </is>
      </c>
      <c r="B32" s="20" t="inlineStr">
        <is>
          <t>ADV-013</t>
        </is>
      </c>
      <c r="C32" s="20" t="inlineStr">
        <is>
          <t>OI-11</t>
        </is>
      </c>
      <c r="D32" s="20" t="inlineStr">
        <is>
          <t>TRACED (explicit ref, open)</t>
        </is>
      </c>
    </row>
    <row r="33">
      <c r="A33" s="20" t="inlineStr">
        <is>
          <t>Feeder→Reg</t>
        </is>
      </c>
      <c r="B33" s="20" t="inlineStr">
        <is>
          <t>Checklist OUTSTANDING</t>
        </is>
      </c>
      <c r="C33" s="20" t="inlineStr">
        <is>
          <t>OI-11</t>
        </is>
      </c>
      <c r="D33" s="20" t="inlineStr">
        <is>
          <t>TRACED</t>
        </is>
      </c>
    </row>
    <row r="34">
      <c r="A34" s="20" t="inlineStr">
        <is>
          <t>Feeder→Reg</t>
        </is>
      </c>
      <c r="B34" s="20" t="inlineStr">
        <is>
          <t>Checklist OUTSTANDING</t>
        </is>
      </c>
      <c r="C34" s="20" t="inlineStr">
        <is>
          <t>OI-64</t>
        </is>
      </c>
      <c r="D34" s="20" t="inlineStr">
        <is>
          <t>TRACED</t>
        </is>
      </c>
    </row>
    <row r="35">
      <c r="A35" s="20" t="inlineStr">
        <is>
          <t>Feeder→Reg</t>
        </is>
      </c>
      <c r="B35" s="20" t="inlineStr">
        <is>
          <t>Checklist OUTSTANDING</t>
        </is>
      </c>
      <c r="C35" s="20" t="inlineStr">
        <is>
          <t>OI-66</t>
        </is>
      </c>
      <c r="D35" s="20" t="inlineStr">
        <is>
          <t>TRACED</t>
        </is>
      </c>
    </row>
    <row r="36">
      <c r="A36" s="20" t="inlineStr">
        <is>
          <t>Feeder→Reg</t>
        </is>
      </c>
      <c r="B36" s="20" t="inlineStr">
        <is>
          <t>R31 Racor</t>
        </is>
      </c>
      <c r="C36" s="20" t="inlineStr">
        <is>
          <t>OI-11</t>
        </is>
      </c>
      <c r="D36" s="20" t="inlineStr">
        <is>
          <t>TRACED</t>
        </is>
      </c>
    </row>
    <row r="37">
      <c r="A37" s="20" t="inlineStr">
        <is>
          <t>Feeder→Reg</t>
        </is>
      </c>
      <c r="B37" s="20" t="inlineStr">
        <is>
          <t>R31 tyre set</t>
        </is>
      </c>
      <c r="C37" s="20" t="inlineStr">
        <is>
          <t>RA-9 → OI-22/19/28</t>
        </is>
      </c>
      <c r="D37" s="20" t="inlineStr">
        <is>
          <t>TRACED</t>
        </is>
      </c>
    </row>
    <row r="38">
      <c r="A38" s="20" t="inlineStr">
        <is>
          <t>Feeder→Reg</t>
        </is>
      </c>
      <c r="B38" s="20" t="inlineStr">
        <is>
          <t>Facts §3 monitors/no-record</t>
        </is>
      </c>
      <c r="C38" s="20" t="inlineStr">
        <is>
          <t>OI-61/62/63/64/6 (subject)</t>
        </is>
      </c>
      <c r="D38" s="20" t="inlineStr">
        <is>
          <t>TRACED</t>
        </is>
      </c>
    </row>
    <row r="39">
      <c r="A39" s="20" t="inlineStr">
        <is>
          <t>Feeder→Reg</t>
        </is>
      </c>
      <c r="B39" s="20" t="inlineStr">
        <is>
          <t>Concordance ×4 WP-internal</t>
        </is>
      </c>
      <c r="C39" s="20" t="inlineStr">
        <is>
          <t>—</t>
        </is>
      </c>
      <c r="D39" s="20" t="inlineStr">
        <is>
          <t>NO REGISTER ANCHOR (charter interim finding, enumerated)</t>
        </is>
      </c>
    </row>
    <row r="40">
      <c r="A40" s="20" t="inlineStr">
        <is>
          <t>Feeder→Reg</t>
        </is>
      </c>
      <c r="B40" s="20" t="inlineStr">
        <is>
          <t>Concordance electrical-stack</t>
        </is>
      </c>
      <c r="C40" s="20" t="inlineStr">
        <is>
          <t>F18–F27 vs PI RS COMPLETE</t>
        </is>
      </c>
      <c r="D40" s="20" t="inlineStr">
        <is>
          <t>CANDIDATE STALE — Session 2/3</t>
        </is>
      </c>
    </row>
    <row r="41">
      <c r="A41" s="20" t="inlineStr"/>
      <c r="B41" s="20" t="inlineStr"/>
      <c r="C41" s="20" t="inlineStr"/>
      <c r="D41" s="20" t="inlineStr"/>
    </row>
    <row r="42">
      <c r="A42" s="20" t="inlineStr">
        <is>
          <t>Reg→Feeder</t>
        </is>
      </c>
      <c r="B42" s="20" t="inlineStr">
        <is>
          <t>OI-1</t>
        </is>
      </c>
      <c r="C42" s="20" t="inlineStr">
        <is>
          <t>EX_Register; TA_Register; refs:RA-1,TA-002</t>
        </is>
      </c>
      <c r="D42" s="20" t="inlineStr">
        <is>
          <t>LINKED</t>
        </is>
      </c>
    </row>
    <row r="43">
      <c r="A43" s="20" t="inlineStr">
        <is>
          <t>Reg→Feeder</t>
        </is>
      </c>
      <c r="B43" s="20" t="inlineStr">
        <is>
          <t>OI-2</t>
        </is>
      </c>
      <c r="C43" s="20" t="inlineStr">
        <is>
          <t>EX_Register; refs:RA-7</t>
        </is>
      </c>
      <c r="D43" s="20" t="inlineStr">
        <is>
          <t>LINKED</t>
        </is>
      </c>
    </row>
    <row r="44">
      <c r="A44" s="20" t="inlineStr">
        <is>
          <t>Reg→Feeder</t>
        </is>
      </c>
      <c r="B44" s="20" t="inlineStr">
        <is>
          <t>OI-3</t>
        </is>
      </c>
      <c r="C44" s="20" t="inlineStr">
        <is>
          <t>EX_Register; refs:RA-10</t>
        </is>
      </c>
      <c r="D44" s="20" t="inlineStr">
        <is>
          <t>LINKED</t>
        </is>
      </c>
    </row>
    <row r="45">
      <c r="A45" s="20" t="inlineStr">
        <is>
          <t>Reg→Feeder</t>
        </is>
      </c>
      <c r="B45" s="20" t="inlineStr">
        <is>
          <t>OI-4</t>
        </is>
      </c>
      <c r="C45" s="20" t="inlineStr">
        <is>
          <t>EX_Register; refs:RA-6</t>
        </is>
      </c>
      <c r="D45" s="20" t="inlineStr">
        <is>
          <t>LINKED</t>
        </is>
      </c>
    </row>
    <row r="46">
      <c r="A46" s="20" t="inlineStr">
        <is>
          <t>Reg→Feeder</t>
        </is>
      </c>
      <c r="B46" s="20" t="inlineStr">
        <is>
          <t>OI-5</t>
        </is>
      </c>
      <c r="C46" s="20" t="inlineStr">
        <is>
          <t>EX_Register; refs:RA-2</t>
        </is>
      </c>
      <c r="D46" s="20" t="inlineStr">
        <is>
          <t>LINKED</t>
        </is>
      </c>
    </row>
    <row r="47">
      <c r="A47" s="20" t="inlineStr">
        <is>
          <t>Reg→Feeder</t>
        </is>
      </c>
      <c r="B47" s="20" t="inlineStr">
        <is>
          <t>OI-6</t>
        </is>
      </c>
      <c r="C47" s="20" t="inlineStr">
        <is>
          <t>Advisories; EX_Register; refs:RA-5</t>
        </is>
      </c>
      <c r="D47" s="20" t="inlineStr">
        <is>
          <t>LINKED</t>
        </is>
      </c>
    </row>
    <row r="48">
      <c r="A48" s="20" t="inlineStr">
        <is>
          <t>Reg→Feeder</t>
        </is>
      </c>
      <c r="B48" s="20" t="inlineStr">
        <is>
          <t>OI-7</t>
        </is>
      </c>
      <c r="C48" s="20" t="inlineStr">
        <is>
          <t>Advisories</t>
        </is>
      </c>
      <c r="D48" s="20" t="inlineStr">
        <is>
          <t>LINKED</t>
        </is>
      </c>
    </row>
    <row r="49">
      <c r="A49" s="20" t="inlineStr">
        <is>
          <t>Reg→Feeder</t>
        </is>
      </c>
      <c r="B49" s="20" t="inlineStr">
        <is>
          <t>OI-8</t>
        </is>
      </c>
      <c r="C49" s="20" t="inlineStr">
        <is>
          <t>refs:EX-12</t>
        </is>
      </c>
      <c r="D49" s="20" t="inlineStr">
        <is>
          <t>LINKED</t>
        </is>
      </c>
    </row>
    <row r="50">
      <c r="A50" s="20" t="inlineStr">
        <is>
          <t>Reg→Feeder</t>
        </is>
      </c>
      <c r="B50" s="20" t="inlineStr">
        <is>
          <t>OI-10</t>
        </is>
      </c>
      <c r="C50" s="20" t="inlineStr">
        <is>
          <t>EX_Register; refs:EX-11</t>
        </is>
      </c>
      <c r="D50" s="20" t="inlineStr">
        <is>
          <t>LINKED</t>
        </is>
      </c>
    </row>
    <row r="51">
      <c r="A51" s="20" t="inlineStr">
        <is>
          <t>Reg→Feeder</t>
        </is>
      </c>
      <c r="B51" s="20" t="inlineStr">
        <is>
          <t>OI-11</t>
        </is>
      </c>
      <c r="C51" s="20" t="inlineStr">
        <is>
          <t>Advisories; Checklist; EX_Register; refs:EX-8,RA-4</t>
        </is>
      </c>
      <c r="D51" s="20" t="inlineStr">
        <is>
          <t>LINKED</t>
        </is>
      </c>
    </row>
    <row r="52">
      <c r="A52" s="20" t="inlineStr">
        <is>
          <t>Reg→Feeder</t>
        </is>
      </c>
      <c r="B52" s="20" t="inlineStr">
        <is>
          <t>OI-12</t>
        </is>
      </c>
      <c r="C52" s="20" t="inlineStr">
        <is>
          <t>EX_Register; refs:EX-9</t>
        </is>
      </c>
      <c r="D52" s="20" t="inlineStr">
        <is>
          <t>LINKED</t>
        </is>
      </c>
    </row>
    <row r="53">
      <c r="A53" s="20" t="inlineStr">
        <is>
          <t>Reg→Feeder</t>
        </is>
      </c>
      <c r="B53" s="20" t="inlineStr">
        <is>
          <t>OI-13</t>
        </is>
      </c>
      <c r="C53" s="20" t="inlineStr">
        <is>
          <t>EX_Register; refs:RA-8</t>
        </is>
      </c>
      <c r="D53" s="20" t="inlineStr">
        <is>
          <t>LINKED</t>
        </is>
      </c>
    </row>
    <row r="54">
      <c r="A54" s="20" t="inlineStr">
        <is>
          <t>Reg→Feeder</t>
        </is>
      </c>
      <c r="B54" s="20" t="inlineStr">
        <is>
          <t>OI-14</t>
        </is>
      </c>
      <c r="C54" s="20" t="inlineStr">
        <is>
          <t>EX_Register; refs:EX-10</t>
        </is>
      </c>
      <c r="D54" s="20" t="inlineStr">
        <is>
          <t>LINKED</t>
        </is>
      </c>
    </row>
    <row r="55">
      <c r="A55" s="20" t="inlineStr">
        <is>
          <t>Reg→Feeder</t>
        </is>
      </c>
      <c r="B55" s="20" t="inlineStr">
        <is>
          <t>OI-17</t>
        </is>
      </c>
      <c r="C55" s="20" t="inlineStr">
        <is>
          <t>—</t>
        </is>
      </c>
      <c r="D55" s="20" t="inlineStr">
        <is>
          <t>REGISTER-BORN (S3 stream, no capture point)</t>
        </is>
      </c>
    </row>
    <row r="56">
      <c r="A56" s="20" t="inlineStr">
        <is>
          <t>Reg→Feeder</t>
        </is>
      </c>
      <c r="B56" s="20" t="inlineStr">
        <is>
          <t>OI-18</t>
        </is>
      </c>
      <c r="C56" s="20" t="inlineStr">
        <is>
          <t>—</t>
        </is>
      </c>
      <c r="D56" s="20" t="inlineStr">
        <is>
          <t>REGISTER-BORN (S3 stream, no capture point)</t>
        </is>
      </c>
    </row>
    <row r="57">
      <c r="A57" s="20" t="inlineStr">
        <is>
          <t>Reg→Feeder</t>
        </is>
      </c>
      <c r="B57" s="20" t="inlineStr">
        <is>
          <t>OI-19</t>
        </is>
      </c>
      <c r="C57" s="20" t="inlineStr">
        <is>
          <t>EX_Register; refs:RA-9</t>
        </is>
      </c>
      <c r="D57" s="20" t="inlineStr">
        <is>
          <t>LINKED</t>
        </is>
      </c>
    </row>
    <row r="58">
      <c r="A58" s="20" t="inlineStr">
        <is>
          <t>Reg→Feeder</t>
        </is>
      </c>
      <c r="B58" s="20" t="inlineStr">
        <is>
          <t>OI-20</t>
        </is>
      </c>
      <c r="C58" s="20" t="inlineStr">
        <is>
          <t>—</t>
        </is>
      </c>
      <c r="D58" s="20" t="inlineStr">
        <is>
          <t>REGISTER-BORN (S3 stream, no capture point)</t>
        </is>
      </c>
    </row>
    <row r="59">
      <c r="A59" s="20" t="inlineStr">
        <is>
          <t>Reg→Feeder</t>
        </is>
      </c>
      <c r="B59" s="20" t="inlineStr">
        <is>
          <t>OI-21</t>
        </is>
      </c>
      <c r="C59" s="20" t="inlineStr">
        <is>
          <t>EX_Register; refs:RA-3</t>
        </is>
      </c>
      <c r="D59" s="20" t="inlineStr">
        <is>
          <t>LINKED</t>
        </is>
      </c>
    </row>
    <row r="60">
      <c r="A60" s="20" t="inlineStr">
        <is>
          <t>Reg→Feeder</t>
        </is>
      </c>
      <c r="B60" s="20" t="inlineStr">
        <is>
          <t>OI-22</t>
        </is>
      </c>
      <c r="C60" s="20" t="inlineStr">
        <is>
          <t>EX_Register; refs:RA-9</t>
        </is>
      </c>
      <c r="D60" s="20" t="inlineStr">
        <is>
          <t>LINKED</t>
        </is>
      </c>
    </row>
    <row r="61">
      <c r="A61" s="20" t="inlineStr">
        <is>
          <t>Reg→Feeder</t>
        </is>
      </c>
      <c r="B61" s="20" t="inlineStr">
        <is>
          <t>OI-24</t>
        </is>
      </c>
      <c r="C61" s="20" t="inlineStr">
        <is>
          <t>—</t>
        </is>
      </c>
      <c r="D61" s="20" t="inlineStr">
        <is>
          <t>REGISTER-BORN (S3 stream, no capture point)</t>
        </is>
      </c>
    </row>
    <row r="62">
      <c r="A62" s="20" t="inlineStr">
        <is>
          <t>Reg→Feeder</t>
        </is>
      </c>
      <c r="B62" s="20" t="inlineStr">
        <is>
          <t>OI-25</t>
        </is>
      </c>
      <c r="C62" s="20" t="inlineStr">
        <is>
          <t>EX_Register; refs:EX-9</t>
        </is>
      </c>
      <c r="D62" s="20" t="inlineStr">
        <is>
          <t>LINKED</t>
        </is>
      </c>
    </row>
    <row r="63">
      <c r="A63" s="20" t="inlineStr">
        <is>
          <t>Reg→Feeder</t>
        </is>
      </c>
      <c r="B63" s="20" t="inlineStr">
        <is>
          <t>OI-26</t>
        </is>
      </c>
      <c r="C63" s="20" t="inlineStr">
        <is>
          <t>EX_Register; refs:EX-9</t>
        </is>
      </c>
      <c r="D63" s="20" t="inlineStr">
        <is>
          <t>LINKED</t>
        </is>
      </c>
    </row>
    <row r="64">
      <c r="A64" s="20" t="inlineStr">
        <is>
          <t>Reg→Feeder</t>
        </is>
      </c>
      <c r="B64" s="20" t="inlineStr">
        <is>
          <t>OI-28</t>
        </is>
      </c>
      <c r="C64" s="20" t="inlineStr">
        <is>
          <t>EX_Register; refs:EX-10,RA-10,RA-9</t>
        </is>
      </c>
      <c r="D64" s="20" t="inlineStr">
        <is>
          <t>LINKED</t>
        </is>
      </c>
    </row>
    <row r="65">
      <c r="A65" s="20" t="inlineStr">
        <is>
          <t>Reg→Feeder</t>
        </is>
      </c>
      <c r="B65" s="20" t="inlineStr">
        <is>
          <t>OI-29</t>
        </is>
      </c>
      <c r="C65" s="20" t="inlineStr">
        <is>
          <t>—</t>
        </is>
      </c>
      <c r="D65" s="20" t="inlineStr">
        <is>
          <t>REGISTER-BORN (S3 stream, no capture point)</t>
        </is>
      </c>
    </row>
    <row r="66">
      <c r="A66" s="20" t="inlineStr">
        <is>
          <t>Reg→Feeder</t>
        </is>
      </c>
      <c r="B66" s="20" t="inlineStr">
        <is>
          <t>OI-30</t>
        </is>
      </c>
      <c r="C66" s="20" t="inlineStr">
        <is>
          <t>EX_Register; refs:EX-9</t>
        </is>
      </c>
      <c r="D66" s="20" t="inlineStr">
        <is>
          <t>LINKED</t>
        </is>
      </c>
    </row>
    <row r="67">
      <c r="A67" s="20" t="inlineStr">
        <is>
          <t>Reg→Feeder</t>
        </is>
      </c>
      <c r="B67" s="20" t="inlineStr">
        <is>
          <t>OI-31</t>
        </is>
      </c>
      <c r="C67" s="20" t="inlineStr">
        <is>
          <t>—</t>
        </is>
      </c>
      <c r="D67" s="20" t="inlineStr">
        <is>
          <t>REGISTER-BORN (S3 stream, no capture point)</t>
        </is>
      </c>
    </row>
    <row r="68">
      <c r="A68" s="20" t="inlineStr">
        <is>
          <t>Reg→Feeder</t>
        </is>
      </c>
      <c r="B68" s="20" t="inlineStr">
        <is>
          <t>OI-36</t>
        </is>
      </c>
      <c r="C68" s="20" t="inlineStr">
        <is>
          <t>EX_Register; refs:EX-10,EX-8</t>
        </is>
      </c>
      <c r="D68" s="20" t="inlineStr">
        <is>
          <t>LINKED</t>
        </is>
      </c>
    </row>
    <row r="69">
      <c r="A69" s="20" t="inlineStr">
        <is>
          <t>Reg→Feeder</t>
        </is>
      </c>
      <c r="B69" s="20" t="inlineStr">
        <is>
          <t>OI-39</t>
        </is>
      </c>
      <c r="C69" s="20" t="inlineStr">
        <is>
          <t>EX_Register; refs:EX-10</t>
        </is>
      </c>
      <c r="D69" s="20" t="inlineStr">
        <is>
          <t>LINKED</t>
        </is>
      </c>
    </row>
    <row r="70">
      <c r="A70" s="20" t="inlineStr">
        <is>
          <t>Reg→Feeder</t>
        </is>
      </c>
      <c r="B70" s="20" t="inlineStr">
        <is>
          <t>OI-43</t>
        </is>
      </c>
      <c r="C70" s="20" t="inlineStr">
        <is>
          <t>—</t>
        </is>
      </c>
      <c r="D70" s="20" t="inlineStr">
        <is>
          <t>REGISTER-BORN (S3 stream, no capture point)</t>
        </is>
      </c>
    </row>
    <row r="71">
      <c r="A71" s="20" t="inlineStr">
        <is>
          <t>Reg→Feeder</t>
        </is>
      </c>
      <c r="B71" s="20" t="inlineStr">
        <is>
          <t>OI-46</t>
        </is>
      </c>
      <c r="C71" s="20" t="inlineStr">
        <is>
          <t>EX_Register; refs:RA-4</t>
        </is>
      </c>
      <c r="D71" s="20" t="inlineStr">
        <is>
          <t>LINKED</t>
        </is>
      </c>
    </row>
    <row r="72">
      <c r="A72" s="20" t="inlineStr">
        <is>
          <t>Reg→Feeder</t>
        </is>
      </c>
      <c r="B72" s="20" t="inlineStr">
        <is>
          <t>OI-47</t>
        </is>
      </c>
      <c r="C72" s="20" t="inlineStr">
        <is>
          <t>—</t>
        </is>
      </c>
      <c r="D72" s="20" t="inlineStr">
        <is>
          <t>REGISTER-BORN (S3 stream, no capture point)</t>
        </is>
      </c>
    </row>
    <row r="73">
      <c r="A73" s="20" t="inlineStr">
        <is>
          <t>Reg→Feeder</t>
        </is>
      </c>
      <c r="B73" s="20" t="inlineStr">
        <is>
          <t>OI-57</t>
        </is>
      </c>
      <c r="C73" s="20" t="inlineStr">
        <is>
          <t>—</t>
        </is>
      </c>
      <c r="D73" s="20" t="inlineStr">
        <is>
          <t>REGISTER-BORN (S3 stream, no capture point)</t>
        </is>
      </c>
    </row>
    <row r="74">
      <c r="A74" s="20" t="inlineStr">
        <is>
          <t>Reg→Feeder</t>
        </is>
      </c>
      <c r="B74" s="20" t="inlineStr">
        <is>
          <t>OI-59</t>
        </is>
      </c>
      <c r="C74" s="20" t="inlineStr">
        <is>
          <t>—</t>
        </is>
      </c>
      <c r="D74" s="20" t="inlineStr">
        <is>
          <t>REGISTER-BORN (S3 stream, no capture point)</t>
        </is>
      </c>
    </row>
    <row r="75">
      <c r="A75" s="20" t="inlineStr">
        <is>
          <t>Reg→Feeder</t>
        </is>
      </c>
      <c r="B75" s="20" t="inlineStr">
        <is>
          <t>OI-60</t>
        </is>
      </c>
      <c r="C75" s="20" t="inlineStr">
        <is>
          <t>—</t>
        </is>
      </c>
      <c r="D75" s="20" t="inlineStr">
        <is>
          <t>REGISTER-BORN (S3 stream, no capture point)</t>
        </is>
      </c>
    </row>
    <row r="76">
      <c r="A76" s="20" t="inlineStr">
        <is>
          <t>Reg→Feeder</t>
        </is>
      </c>
      <c r="B76" s="20" t="inlineStr">
        <is>
          <t>OI-61</t>
        </is>
      </c>
      <c r="C76" s="20" t="inlineStr">
        <is>
          <t>Advisories; refs:ADV-001,ADV-002</t>
        </is>
      </c>
      <c r="D76" s="20" t="inlineStr">
        <is>
          <t>LINKED</t>
        </is>
      </c>
    </row>
    <row r="77">
      <c r="A77" s="20" t="inlineStr">
        <is>
          <t>Reg→Feeder</t>
        </is>
      </c>
      <c r="B77" s="20" t="inlineStr">
        <is>
          <t>OI-62</t>
        </is>
      </c>
      <c r="C77" s="20" t="inlineStr">
        <is>
          <t>Advisories; EX_Register; refs:ADV-003,ADV-006,ADV-009</t>
        </is>
      </c>
      <c r="D77" s="20" t="inlineStr">
        <is>
          <t>LINKED</t>
        </is>
      </c>
    </row>
    <row r="78">
      <c r="A78" s="20" t="inlineStr">
        <is>
          <t>Reg→Feeder</t>
        </is>
      </c>
      <c r="B78" s="20" t="inlineStr">
        <is>
          <t>OI-63</t>
        </is>
      </c>
      <c r="C78" s="20" t="inlineStr">
        <is>
          <t>Advisories; refs:ADV-007</t>
        </is>
      </c>
      <c r="D78" s="20" t="inlineStr">
        <is>
          <t>LINKED</t>
        </is>
      </c>
    </row>
    <row r="79">
      <c r="A79" s="20" t="inlineStr">
        <is>
          <t>Reg→Feeder</t>
        </is>
      </c>
      <c r="B79" s="20" t="inlineStr">
        <is>
          <t>OI-64</t>
        </is>
      </c>
      <c r="C79" s="20" t="inlineStr">
        <is>
          <t>Advisories; Checklist; refs:ADV-008</t>
        </is>
      </c>
      <c r="D79" s="20" t="inlineStr">
        <is>
          <t>LINKED</t>
        </is>
      </c>
    </row>
    <row r="80">
      <c r="A80" s="20" t="inlineStr">
        <is>
          <t>Reg→Feeder</t>
        </is>
      </c>
      <c r="B80" s="20" t="inlineStr">
        <is>
          <t>OI-65</t>
        </is>
      </c>
      <c r="C80" s="20" t="inlineStr">
        <is>
          <t>EX_Register; TA_Register; refs:RA-1,TA-002,TA-007</t>
        </is>
      </c>
      <c r="D80" s="20" t="inlineStr">
        <is>
          <t>LINKED</t>
        </is>
      </c>
    </row>
    <row r="81">
      <c r="A81" s="20" t="inlineStr">
        <is>
          <t>Reg→Feeder</t>
        </is>
      </c>
      <c r="B81" s="20" t="inlineStr">
        <is>
          <t>OI-66</t>
        </is>
      </c>
      <c r="C81" s="20" t="inlineStr">
        <is>
          <t>Advisories; Checklist; EX_Register; refs:ADV-011,ADV-012,RA-3</t>
        </is>
      </c>
      <c r="D81" s="20" t="inlineStr">
        <is>
          <t>LINKED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style="21" min="1" max="1"/>
    <col width="7" customWidth="1" style="21" min="2" max="2"/>
    <col width="30" customWidth="1" style="21" min="3" max="3"/>
    <col width="9" customWidth="1" style="21" min="4" max="4"/>
    <col width="12" customWidth="1" style="21" min="5" max="5"/>
    <col width="5" customWidth="1" style="21" min="6" max="6"/>
    <col width="5" customWidth="1" style="21" min="7" max="7"/>
    <col width="5" customWidth="1" style="21" min="8" max="8"/>
    <col width="5" customWidth="1" style="21" min="9" max="9"/>
    <col width="5" customWidth="1" style="21" min="10" max="10"/>
    <col width="5" customWidth="1" style="21" min="11" max="11"/>
    <col width="5" customWidth="1" style="21" min="12" max="12"/>
    <col width="5" customWidth="1" style="21" min="13" max="13"/>
    <col width="5" customWidth="1" style="21" min="14" max="14"/>
    <col width="5" customWidth="1" style="21" min="15" max="15"/>
    <col width="5" customWidth="1" style="21" min="16" max="16"/>
    <col width="6" customWidth="1" style="21" min="17" max="17"/>
    <col width="50" customWidth="1" style="21" min="18" max="18"/>
    <col width="38" customWidth="1" style="21" min="19" max="19"/>
  </cols>
  <sheetData>
    <row r="1">
      <c r="A1" s="43" t="inlineStr">
        <is>
          <t>#</t>
        </is>
      </c>
      <c r="B1" s="43" t="inlineStr">
        <is>
          <t>OI</t>
        </is>
      </c>
      <c r="C1" s="43" t="inlineStr">
        <is>
          <t>Short title</t>
        </is>
      </c>
      <c r="D1" s="43" t="inlineStr">
        <is>
          <t>Type</t>
        </is>
      </c>
      <c r="E1" s="43" t="inlineStr">
        <is>
          <t>Stream</t>
        </is>
      </c>
      <c r="F1" s="43" t="inlineStr">
        <is>
          <t>Auth</t>
        </is>
      </c>
      <c r="G1" s="43" t="inlineStr">
        <is>
          <t>A1</t>
        </is>
      </c>
      <c r="H1" s="43" t="inlineStr">
        <is>
          <t>A2</t>
        </is>
      </c>
      <c r="I1" s="43" t="inlineStr">
        <is>
          <t>A3</t>
        </is>
      </c>
      <c r="J1" s="43" t="inlineStr">
        <is>
          <t>A4</t>
        </is>
      </c>
      <c r="K1" s="43" t="inlineStr">
        <is>
          <t>A5</t>
        </is>
      </c>
      <c r="L1" s="43" t="inlineStr">
        <is>
          <t>A6</t>
        </is>
      </c>
      <c r="M1" s="43" t="inlineStr">
        <is>
          <t>A7</t>
        </is>
      </c>
      <c r="N1" s="43" t="inlineStr">
        <is>
          <t>A8</t>
        </is>
      </c>
      <c r="O1" s="43" t="inlineStr">
        <is>
          <t>A9</t>
        </is>
      </c>
      <c r="P1" s="43" t="inlineStr">
        <is>
          <t>A10</t>
        </is>
      </c>
      <c r="Q1" s="43" t="inlineStr">
        <is>
          <t>Rating</t>
        </is>
      </c>
      <c r="R1" s="43" t="inlineStr">
        <is>
          <t>Key finding(s)</t>
        </is>
      </c>
      <c r="S1" s="43" t="inlineStr">
        <is>
          <t>Evidence locator(s)</t>
        </is>
      </c>
    </row>
    <row r="2">
      <c r="A2" s="44" t="n">
        <v>1</v>
      </c>
      <c r="B2" s="44" t="inlineStr">
        <is>
          <t>OI-66</t>
        </is>
      </c>
      <c r="C2" s="44" t="inlineStr">
        <is>
          <t>Cyl head oil seepage — verify PCV before reseal</t>
        </is>
      </c>
      <c r="D2" s="44" t="inlineStr">
        <is>
          <t>T3+T1</t>
        </is>
      </c>
      <c r="E2" s="44" t="inlineStr">
        <is>
          <t>S4 wshop-adv</t>
        </is>
      </c>
      <c r="F2" s="44" t="inlineStr">
        <is>
          <t>C</t>
        </is>
      </c>
      <c r="G2" s="44" t="inlineStr">
        <is>
          <t>P</t>
        </is>
      </c>
      <c r="H2" s="44" t="inlineStr">
        <is>
          <t>P</t>
        </is>
      </c>
      <c r="I2" s="44" t="inlineStr">
        <is>
          <t>P</t>
        </is>
      </c>
      <c r="J2" s="44" t="inlineStr">
        <is>
          <t>P*</t>
        </is>
      </c>
      <c r="K2" s="44" t="inlineStr">
        <is>
          <t>P*</t>
        </is>
      </c>
      <c r="L2" s="45" t="inlineStr">
        <is>
          <t>F?</t>
        </is>
      </c>
      <c r="M2" s="44" t="inlineStr">
        <is>
          <t>P</t>
        </is>
      </c>
      <c r="N2" s="45" t="inlineStr">
        <is>
          <t>F</t>
        </is>
      </c>
      <c r="O2" s="44" t="inlineStr">
        <is>
          <t>P</t>
        </is>
      </c>
      <c r="P2" s="44" t="inlineStr">
        <is>
          <t>na</t>
        </is>
      </c>
      <c r="Q2" s="44" t="inlineStr">
        <is>
          <t>MOD</t>
        </is>
      </c>
      <c r="R2" s="44" t="inlineStr">
        <is>
          <t>A6: two dependent actions (verify PCV routing / reseal rocker cover) — close independently though co-located &amp; ordered; ordering guard in-entry. A8 no re-confirm date.</t>
        </is>
      </c>
      <c r="S2" s="44" t="inlineStr">
        <is>
          <t>ADV-011/012; R8 §2; part 11183-54011</t>
        </is>
      </c>
    </row>
    <row r="3">
      <c r="A3" s="44" t="n">
        <v>2</v>
      </c>
      <c r="B3" s="44" t="inlineStr">
        <is>
          <t>OI-61</t>
        </is>
      </c>
      <c r="C3" s="44" t="inlineStr">
        <is>
          <t>Axle oil &amp; grease leaks — BOTH ends (SAFETY)</t>
        </is>
      </c>
      <c r="D3" s="44" t="inlineStr">
        <is>
          <t>T1</t>
        </is>
      </c>
      <c r="E3" s="44" t="inlineStr">
        <is>
          <t>S4 wshop-adv</t>
        </is>
      </c>
      <c r="F3" s="44" t="inlineStr">
        <is>
          <t>C</t>
        </is>
      </c>
      <c r="G3" s="44" t="inlineStr">
        <is>
          <t>P</t>
        </is>
      </c>
      <c r="H3" s="44" t="inlineStr">
        <is>
          <t>P</t>
        </is>
      </c>
      <c r="I3" s="44" t="inlineStr">
        <is>
          <t>P</t>
        </is>
      </c>
      <c r="J3" s="44" t="inlineStr">
        <is>
          <t>P*</t>
        </is>
      </c>
      <c r="K3" s="44" t="inlineStr">
        <is>
          <t>P</t>
        </is>
      </c>
      <c r="L3" s="45" t="inlineStr">
        <is>
          <t>F</t>
        </is>
      </c>
      <c r="M3" s="44" t="inlineStr">
        <is>
          <t>P</t>
        </is>
      </c>
      <c r="N3" s="45" t="inlineStr">
        <is>
          <t>F</t>
        </is>
      </c>
      <c r="O3" s="44" t="inlineStr">
        <is>
          <t>P</t>
        </is>
      </c>
      <c r="P3" s="44" t="inlineStr">
        <is>
          <t>na</t>
        </is>
      </c>
      <c r="Q3" s="46" t="inlineStr">
        <is>
          <t>SIG</t>
        </is>
      </c>
      <c r="R3" s="44" t="inlineStr">
        <is>
          <t>A6 FAIL: two INDEPENDENT jobs (rear hub seal+shoes / front knuckle repack), close separately. Safety-by-default. Figures reconcile to ledger.</t>
        </is>
      </c>
      <c r="S3" s="44" t="inlineStr">
        <is>
          <t>ADV-001/002; ledger 2026-04-14@308248; shoes 2026-01-21@293949; knuckle kit 2025-02-13@271200</t>
        </is>
      </c>
    </row>
    <row r="4">
      <c r="A4" s="44" t="n">
        <v>3</v>
      </c>
      <c r="B4" s="44" t="inlineStr">
        <is>
          <t>OI-62</t>
        </is>
      </c>
      <c r="C4" s="44" t="inlineStr">
        <is>
          <t>Cooling cluster — thermostat/pump/flush</t>
        </is>
      </c>
      <c r="D4" s="44" t="inlineStr">
        <is>
          <t>T1x3</t>
        </is>
      </c>
      <c r="E4" s="44" t="inlineStr">
        <is>
          <t>S4 wshop-adv</t>
        </is>
      </c>
      <c r="F4" s="44" t="inlineStr">
        <is>
          <t>C</t>
        </is>
      </c>
      <c r="G4" s="44" t="inlineStr">
        <is>
          <t>P</t>
        </is>
      </c>
      <c r="H4" s="44" t="inlineStr">
        <is>
          <t>P</t>
        </is>
      </c>
      <c r="I4" s="45" t="inlineStr">
        <is>
          <t>F</t>
        </is>
      </c>
      <c r="J4" s="44" t="inlineStr">
        <is>
          <t>P*</t>
        </is>
      </c>
      <c r="K4" s="44" t="inlineStr">
        <is>
          <t>P*</t>
        </is>
      </c>
      <c r="L4" s="45" t="inlineStr">
        <is>
          <t>F</t>
        </is>
      </c>
      <c r="M4" s="44" t="inlineStr">
        <is>
          <t>P</t>
        </is>
      </c>
      <c r="N4" s="45" t="inlineStr">
        <is>
          <t>F</t>
        </is>
      </c>
      <c r="O4" s="44" t="inlineStr">
        <is>
          <t>P</t>
        </is>
      </c>
      <c r="P4" s="44" t="inlineStr">
        <is>
          <t>na</t>
        </is>
      </c>
      <c r="Q4" s="44" t="inlineStr">
        <is>
          <t>MOD</t>
        </is>
      </c>
      <c r="R4" s="44" t="inlineStr">
        <is>
          <t>A3 FAIL: '86,006 overdue'=ELAPSED (310412-224406), no interval stated; Facts §3 says ~85,000 'ago'. A6 FAIL: 3 jobs/1 visit. Thermostat/pump 'no record'=TRUE (E2).</t>
        </is>
      </c>
      <c r="S4" s="44" t="inlineStr">
        <is>
          <t>ADV-003/006/009; Facts §3; flush 2023-08-18@224406 (only flush); no thermostat/pump in 315 rows</t>
        </is>
      </c>
    </row>
    <row r="5">
      <c r="A5" s="44" t="n">
        <v>4</v>
      </c>
      <c r="B5" s="44" t="inlineStr">
        <is>
          <t>OI-63</t>
        </is>
      </c>
      <c r="C5" s="44" t="inlineStr">
        <is>
          <t>Wheel bearing repack — '63,684 overdue' claim</t>
        </is>
      </c>
      <c r="D5" s="44" t="inlineStr">
        <is>
          <t>T1</t>
        </is>
      </c>
      <c r="E5" s="44" t="inlineStr">
        <is>
          <t>S4 wshop-adv</t>
        </is>
      </c>
      <c r="F5" s="44" t="inlineStr">
        <is>
          <t>C</t>
        </is>
      </c>
      <c r="G5" s="44" t="inlineStr">
        <is>
          <t>P</t>
        </is>
      </c>
      <c r="H5" s="44" t="inlineStr">
        <is>
          <t>P</t>
        </is>
      </c>
      <c r="I5" s="45" t="inlineStr">
        <is>
          <t>F</t>
        </is>
      </c>
      <c r="J5" s="44" t="inlineStr">
        <is>
          <t>P*</t>
        </is>
      </c>
      <c r="K5" s="44" t="inlineStr">
        <is>
          <t>P</t>
        </is>
      </c>
      <c r="L5" s="44" t="inlineStr">
        <is>
          <t>P</t>
        </is>
      </c>
      <c r="M5" s="44" t="inlineStr">
        <is>
          <t>P</t>
        </is>
      </c>
      <c r="N5" s="45" t="inlineStr">
        <is>
          <t>F</t>
        </is>
      </c>
      <c r="O5" s="44" t="inlineStr">
        <is>
          <t>P</t>
        </is>
      </c>
      <c r="P5" s="44" t="inlineStr">
        <is>
          <t>na</t>
        </is>
      </c>
      <c r="Q5" s="44" t="inlineStr">
        <is>
          <t>MOD</t>
        </is>
      </c>
      <c r="R5" s="44" t="inlineStr">
        <is>
          <t>A3 FAIL: 63,684 = elapsed 245000→phantom as-at 308,684; interval not subtracted; ignores 271,200 replacement (overdue≈19,800 on that basis). Facts §3 says ~65,000 'ago'.</t>
        </is>
      </c>
      <c r="S5" s="44" t="inlineStr">
        <is>
          <t>ADV-007; Facts §3; repack 2023-10-27@243189; replacement 2025-02-13@271200; AoT_S2_A3_Recon</t>
        </is>
      </c>
    </row>
    <row r="6">
      <c r="A6" s="44" t="n">
        <v>5</v>
      </c>
      <c r="B6" s="44" t="inlineStr">
        <is>
          <t>OI-64</t>
        </is>
      </c>
      <c r="C6" s="44" t="inlineStr">
        <is>
          <t>Diff breather extensions — fitted or not</t>
        </is>
      </c>
      <c r="D6" s="44" t="inlineStr">
        <is>
          <t>T3</t>
        </is>
      </c>
      <c r="E6" s="44" t="inlineStr">
        <is>
          <t>S4 wshop-adv</t>
        </is>
      </c>
      <c r="F6" s="44" t="inlineStr">
        <is>
          <t>C</t>
        </is>
      </c>
      <c r="G6" s="44" t="inlineStr">
        <is>
          <t>P</t>
        </is>
      </c>
      <c r="H6" s="44" t="inlineStr">
        <is>
          <t>P</t>
        </is>
      </c>
      <c r="I6" s="44" t="inlineStr">
        <is>
          <t>P</t>
        </is>
      </c>
      <c r="J6" s="44" t="inlineStr">
        <is>
          <t>P*</t>
        </is>
      </c>
      <c r="K6" s="44" t="inlineStr">
        <is>
          <t>P</t>
        </is>
      </c>
      <c r="L6" s="44" t="inlineStr">
        <is>
          <t>P</t>
        </is>
      </c>
      <c r="M6" s="44" t="inlineStr">
        <is>
          <t>P</t>
        </is>
      </c>
      <c r="N6" s="45" t="inlineStr">
        <is>
          <t>F</t>
        </is>
      </c>
      <c r="O6" s="44" t="inlineStr">
        <is>
          <t>P</t>
        </is>
      </c>
      <c r="P6" s="44" t="inlineStr">
        <is>
          <t>na</t>
        </is>
      </c>
      <c r="Q6" s="44" t="inlineStr">
        <is>
          <t>MOD</t>
        </is>
      </c>
      <c r="R6" s="44" t="inlineStr">
        <is>
          <t>Clean entry. Field-fitness: unknown before water crossings. A8 only.</t>
        </is>
      </c>
      <c r="S6" s="44" t="inlineStr">
        <is>
          <t>ADV-008; R31 §3 item 7; R8</t>
        </is>
      </c>
    </row>
    <row r="7">
      <c r="A7" s="44" t="n">
        <v>6</v>
      </c>
      <c r="B7" s="44" t="inlineStr">
        <is>
          <t>OI-3</t>
        </is>
      </c>
      <c r="C7" s="44" t="inlineStr">
        <is>
          <t>RA-10 inReach live SOS/tracking test</t>
        </is>
      </c>
      <c r="D7" s="44" t="inlineStr">
        <is>
          <t>T3</t>
        </is>
      </c>
      <c r="E7" s="44" t="inlineStr">
        <is>
          <t>reg-born</t>
        </is>
      </c>
      <c r="F7" s="44" t="inlineStr">
        <is>
          <t>C</t>
        </is>
      </c>
      <c r="G7" s="44" t="inlineStr">
        <is>
          <t>P</t>
        </is>
      </c>
      <c r="H7" s="44" t="inlineStr">
        <is>
          <t>P</t>
        </is>
      </c>
      <c r="I7" s="44" t="inlineStr">
        <is>
          <t>P</t>
        </is>
      </c>
      <c r="J7" s="44" t="inlineStr">
        <is>
          <t>P*</t>
        </is>
      </c>
      <c r="K7" s="44" t="inlineStr">
        <is>
          <t>P*</t>
        </is>
      </c>
      <c r="L7" s="44" t="inlineStr">
        <is>
          <t>P</t>
        </is>
      </c>
      <c r="M7" s="44" t="inlineStr">
        <is>
          <t>P</t>
        </is>
      </c>
      <c r="N7" s="45" t="inlineStr">
        <is>
          <t>F</t>
        </is>
      </c>
      <c r="O7" s="44" t="inlineStr">
        <is>
          <t>P</t>
        </is>
      </c>
      <c r="P7" s="44" t="inlineStr">
        <is>
          <t>na</t>
        </is>
      </c>
      <c r="Q7" s="44" t="inlineStr">
        <is>
          <t>MOD</t>
        </is>
      </c>
      <c r="R7" s="44" t="inlineStr">
        <is>
          <t>Life-safety comms; entry clean. A5 note: arguably STANDING (periodic) not one-off. A8: next-due genuinely meaningful.</t>
        </is>
      </c>
      <c r="S7" s="44" t="inlineStr">
        <is>
          <t>RA-10 (EX_Register); R16 §6 items 1-5</t>
        </is>
      </c>
    </row>
    <row r="8">
      <c r="A8" s="44" t="n">
        <v>7</v>
      </c>
      <c r="B8" s="44" t="inlineStr">
        <is>
          <t>OI-2</t>
        </is>
      </c>
      <c r="C8" s="44" t="inlineStr">
        <is>
          <t>RA-7 recovery practice day</t>
        </is>
      </c>
      <c r="D8" s="44" t="inlineStr">
        <is>
          <t>T1/T3</t>
        </is>
      </c>
      <c r="E8" s="44" t="inlineStr">
        <is>
          <t>reg-born</t>
        </is>
      </c>
      <c r="F8" s="44" t="inlineStr">
        <is>
          <t>C</t>
        </is>
      </c>
      <c r="G8" s="44" t="inlineStr">
        <is>
          <t>P</t>
        </is>
      </c>
      <c r="H8" s="44" t="inlineStr">
        <is>
          <t>P</t>
        </is>
      </c>
      <c r="I8" s="44" t="inlineStr">
        <is>
          <t>P</t>
        </is>
      </c>
      <c r="J8" s="44" t="inlineStr">
        <is>
          <t>P*</t>
        </is>
      </c>
      <c r="K8" s="44" t="inlineStr">
        <is>
          <t>P</t>
        </is>
      </c>
      <c r="L8" s="44" t="inlineStr">
        <is>
          <t>P</t>
        </is>
      </c>
      <c r="M8" s="45" t="inlineStr">
        <is>
          <t>F</t>
        </is>
      </c>
      <c r="N8" s="45" t="inlineStr">
        <is>
          <t>F</t>
        </is>
      </c>
      <c r="O8" s="44" t="inlineStr">
        <is>
          <t>P</t>
        </is>
      </c>
      <c r="P8" s="44" t="inlineStr">
        <is>
          <t>na</t>
        </is>
      </c>
      <c r="Q8" s="44" t="inlineStr">
        <is>
          <t>MOD</t>
        </is>
      </c>
      <c r="R8" s="44" t="inlineStr">
        <is>
          <t>A7 FAIL: 'Consultant review 8 Jul' = a moment. R37 destination is a place; SOURCE FIELD names a conversation.</t>
        </is>
      </c>
      <c r="S8" s="44" t="inlineStr">
        <is>
          <t>RA-7 (EX_Register); R37 sign-off</t>
        </is>
      </c>
    </row>
    <row r="9">
      <c r="A9" s="44" t="n">
        <v>8</v>
      </c>
      <c r="B9" s="44" t="inlineStr">
        <is>
          <t>OI-43</t>
        </is>
      </c>
      <c r="C9" s="44" t="inlineStr">
        <is>
          <t>Expedition medical insurance feasibility</t>
        </is>
      </c>
      <c r="D9" s="44" t="inlineStr">
        <is>
          <t>T6/T4</t>
        </is>
      </c>
      <c r="E9" s="44" t="inlineStr">
        <is>
          <t>reg-born</t>
        </is>
      </c>
      <c r="F9" s="44" t="inlineStr">
        <is>
          <t>C</t>
        </is>
      </c>
      <c r="G9" s="44" t="inlineStr">
        <is>
          <t>P</t>
        </is>
      </c>
      <c r="H9" s="44" t="inlineStr">
        <is>
          <t>P</t>
        </is>
      </c>
      <c r="I9" s="44" t="inlineStr">
        <is>
          <t>P</t>
        </is>
      </c>
      <c r="J9" s="44" t="inlineStr">
        <is>
          <t>P*</t>
        </is>
      </c>
      <c r="K9" s="45" t="inlineStr">
        <is>
          <t>F?</t>
        </is>
      </c>
      <c r="L9" s="45" t="inlineStr">
        <is>
          <t>F?</t>
        </is>
      </c>
      <c r="M9" s="45" t="inlineStr">
        <is>
          <t>F</t>
        </is>
      </c>
      <c r="N9" s="45" t="inlineStr">
        <is>
          <t>F</t>
        </is>
      </c>
      <c r="O9" s="44" t="inlineStr">
        <is>
          <t>P*</t>
        </is>
      </c>
      <c r="P9" s="44" t="inlineStr">
        <is>
          <t>na</t>
        </is>
      </c>
      <c r="Q9" s="46" t="inlineStr">
        <is>
          <t>SIG</t>
        </is>
      </c>
      <c r="R9" s="44" t="inlineStr">
        <is>
          <t>SIG (M-flag): binding constraint on the medical architecture. A5: type unassignable (enquiry vs decision). A6 cand: enquiry+decision. A7 FAIL: 'Insurance eval 23 Jul'.</t>
        </is>
      </c>
      <c r="S9" s="44" t="inlineStr">
        <is>
          <t>R29 §5 trap list, §6 layer 3; charter §4.3</t>
        </is>
      </c>
    </row>
    <row r="10">
      <c r="A10" s="44" t="n">
        <v>9</v>
      </c>
      <c r="B10" s="44" t="inlineStr">
        <is>
          <t>OI-47</t>
        </is>
      </c>
      <c r="C10" s="44" t="inlineStr">
        <is>
          <t>Intl-dialable assistance lines (Santam, Bonitas)</t>
        </is>
      </c>
      <c r="D10" s="44" t="inlineStr">
        <is>
          <t>T6</t>
        </is>
      </c>
      <c r="E10" s="44" t="inlineStr">
        <is>
          <t>reg-born</t>
        </is>
      </c>
      <c r="F10" s="44" t="inlineStr">
        <is>
          <t>C</t>
        </is>
      </c>
      <c r="G10" s="44" t="inlineStr">
        <is>
          <t>P</t>
        </is>
      </c>
      <c r="H10" s="44" t="inlineStr">
        <is>
          <t>P</t>
        </is>
      </c>
      <c r="I10" s="44" t="inlineStr">
        <is>
          <t>P*</t>
        </is>
      </c>
      <c r="J10" s="44" t="inlineStr">
        <is>
          <t>P*</t>
        </is>
      </c>
      <c r="K10" s="44" t="inlineStr">
        <is>
          <t>P</t>
        </is>
      </c>
      <c r="L10" s="45" t="inlineStr">
        <is>
          <t>F?</t>
        </is>
      </c>
      <c r="M10" s="45" t="inlineStr">
        <is>
          <t>F</t>
        </is>
      </c>
      <c r="N10" s="45" t="inlineStr">
        <is>
          <t>F</t>
        </is>
      </c>
      <c r="O10" s="44" t="inlineStr">
        <is>
          <t>P</t>
        </is>
      </c>
      <c r="P10" s="44" t="inlineStr">
        <is>
          <t>na</t>
        </is>
      </c>
      <c r="Q10" s="46" t="inlineStr">
        <is>
          <t>SIG</t>
        </is>
      </c>
      <c r="R10" s="44" t="inlineStr">
        <is>
          <t>SIG: life-safety — total loss/evac abroad has NO satphone-dialable line for 2 of 3 providers. A6 cand: two providers. A3: some +27 lines not yet test-dialled (RA-10). A7 FAIL.</t>
        </is>
      </c>
      <c r="S10" s="44" t="inlineStr">
        <is>
          <t>R29 §6; Controlled Duplication Reg; +27 11 991 8174 / +27 10 205 3000</t>
        </is>
      </c>
    </row>
    <row r="11">
      <c r="A11" s="44" t="n">
        <v>10</v>
      </c>
      <c r="B11" s="44" t="inlineStr">
        <is>
          <t>OI-8</t>
        </is>
      </c>
      <c r="C11" s="44" t="inlineStr">
        <is>
          <t>Gate B — Manjaro LiFePO4 invoice</t>
        </is>
      </c>
      <c r="D11" s="44" t="inlineStr">
        <is>
          <t>T2/T1</t>
        </is>
      </c>
      <c r="E11" s="44" t="inlineStr">
        <is>
          <t>EX-12 S1</t>
        </is>
      </c>
      <c r="F11" s="44" t="inlineStr">
        <is>
          <t>C</t>
        </is>
      </c>
      <c r="G11" s="44" t="inlineStr">
        <is>
          <t>P</t>
        </is>
      </c>
      <c r="H11" s="44" t="inlineStr">
        <is>
          <t>P</t>
        </is>
      </c>
      <c r="I11" s="44" t="inlineStr">
        <is>
          <t>P</t>
        </is>
      </c>
      <c r="J11" s="44" t="inlineStr">
        <is>
          <t>P*</t>
        </is>
      </c>
      <c r="K11" s="45" t="inlineStr">
        <is>
          <t>F</t>
        </is>
      </c>
      <c r="L11" s="44" t="inlineStr">
        <is>
          <t>P</t>
        </is>
      </c>
      <c r="M11" s="44" t="inlineStr">
        <is>
          <t>PT</t>
        </is>
      </c>
      <c r="N11" s="45" t="inlineStr">
        <is>
          <t>F</t>
        </is>
      </c>
      <c r="O11" s="44" t="inlineStr">
        <is>
          <t>P</t>
        </is>
      </c>
      <c r="P11" s="44" t="inlineStr">
        <is>
          <t>na</t>
        </is>
      </c>
      <c r="Q11" s="44" t="inlineStr">
        <is>
          <t>MOD</t>
        </is>
      </c>
      <c r="R11" s="44" t="inlineStr">
        <is>
          <t>A5 status FAIL: reads OPEN but is DONE-PENDING-EVIDENCE (install done Jul26; only invoice unfiled). Blocks ledger total. A7 partial.</t>
        </is>
      </c>
      <c r="S11" s="44" t="inlineStr">
        <is>
          <t>EX-12 S1; ledger LiFePO4 @311000 cost TBC; R8 / Ledger_Current §3</t>
        </is>
      </c>
    </row>
    <row r="12">
      <c r="A12" s="44" t="n">
        <v>11</v>
      </c>
      <c r="B12" s="44" t="inlineStr">
        <is>
          <t>OI-1</t>
        </is>
      </c>
      <c r="C12" s="44" t="inlineStr">
        <is>
          <t>RA-1 loaded weighbridge</t>
        </is>
      </c>
      <c r="D12" s="44" t="inlineStr">
        <is>
          <t>T3</t>
        </is>
      </c>
      <c r="E12" s="44" t="inlineStr">
        <is>
          <t>reg-born</t>
        </is>
      </c>
      <c r="F12" s="44" t="inlineStr">
        <is>
          <t>C</t>
        </is>
      </c>
      <c r="G12" s="44" t="inlineStr">
        <is>
          <t>P</t>
        </is>
      </c>
      <c r="H12" s="44" t="inlineStr">
        <is>
          <t>P</t>
        </is>
      </c>
      <c r="I12" s="44" t="inlineStr">
        <is>
          <t>P</t>
        </is>
      </c>
      <c r="J12" s="44" t="inlineStr">
        <is>
          <t>P*</t>
        </is>
      </c>
      <c r="K12" s="44" t="inlineStr">
        <is>
          <t>P</t>
        </is>
      </c>
      <c r="L12" s="44" t="inlineStr">
        <is>
          <t>P</t>
        </is>
      </c>
      <c r="M12" s="45" t="inlineStr">
        <is>
          <t>F</t>
        </is>
      </c>
      <c r="N12" s="45" t="inlineStr">
        <is>
          <t>F</t>
        </is>
      </c>
      <c r="O12" s="44" t="inlineStr">
        <is>
          <t>P</t>
        </is>
      </c>
      <c r="P12" s="44" t="inlineStr">
        <is>
          <t>na</t>
        </is>
      </c>
      <c r="Q12" s="46" t="inlineStr">
        <is>
          <t>SIG</t>
        </is>
      </c>
      <c r="R12" s="44" t="inlineStr">
        <is>
          <t>SIG: highest downstream gating — insurance/overload, tyre pressures, axle legality, payload propagation; collapses 3 kerb/payload pairs. A7 FAIL: 'Consultant review 8 Jul'.</t>
        </is>
      </c>
      <c r="S12" s="44" t="inlineStr">
        <is>
          <t>RA-1/TA-002 (EX/TA_Register); Concordance; Facts §1 tare 2118 / §2 GVM 3000</t>
        </is>
      </c>
    </row>
    <row r="13">
      <c r="A13" s="44" t="n">
        <v>12</v>
      </c>
      <c r="B13" s="44" t="inlineStr">
        <is>
          <t>OI-5</t>
        </is>
      </c>
      <c r="C13" s="44" t="inlineStr">
        <is>
          <t>RA-2 diagnostic baseline (compr/leak-down/oil)</t>
        </is>
      </c>
      <c r="D13" s="44" t="inlineStr">
        <is>
          <t>T3+T7</t>
        </is>
      </c>
      <c r="E13" s="44" t="inlineStr">
        <is>
          <t>reg-born</t>
        </is>
      </c>
      <c r="F13" s="44" t="inlineStr">
        <is>
          <t>C</t>
        </is>
      </c>
      <c r="G13" s="44" t="inlineStr">
        <is>
          <t>P</t>
        </is>
      </c>
      <c r="H13" s="44" t="inlineStr">
        <is>
          <t>P</t>
        </is>
      </c>
      <c r="I13" s="44" t="inlineStr">
        <is>
          <t>P</t>
        </is>
      </c>
      <c r="J13" s="44" t="inlineStr">
        <is>
          <t>P*</t>
        </is>
      </c>
      <c r="K13" s="45" t="inlineStr">
        <is>
          <t>F?</t>
        </is>
      </c>
      <c r="L13" s="45" t="inlineStr">
        <is>
          <t>F?</t>
        </is>
      </c>
      <c r="M13" s="45" t="inlineStr">
        <is>
          <t>F</t>
        </is>
      </c>
      <c r="N13" s="45" t="inlineStr">
        <is>
          <t>F</t>
        </is>
      </c>
      <c r="O13" s="44" t="inlineStr">
        <is>
          <t>P</t>
        </is>
      </c>
      <c r="P13" s="44" t="inlineStr">
        <is>
          <t>na</t>
        </is>
      </c>
      <c r="Q13" s="44" t="inlineStr">
        <is>
          <t>MOD</t>
        </is>
      </c>
      <c r="R13" s="44" t="inlineStr">
        <is>
          <t>A6 cand: one-off baseline (T3) + START standing oil-analysis PROGRAMME (T7, never closes) — two closures. A7 FAIL: '8 Jul'.</t>
        </is>
      </c>
      <c r="S13" s="44" t="inlineStr">
        <is>
          <t>RA-2 (EX_Register); combine w/ OI-7 @~315000</t>
        </is>
      </c>
    </row>
    <row r="14">
      <c r="A14" s="44" t="n">
        <v>13</v>
      </c>
      <c r="B14" s="44" t="inlineStr">
        <is>
          <t>OI-6</t>
        </is>
      </c>
      <c r="C14" s="44" t="inlineStr">
        <is>
          <t>RA-5 cooling hardware condition assessment</t>
        </is>
      </c>
      <c r="D14" s="44" t="inlineStr">
        <is>
          <t>T3</t>
        </is>
      </c>
      <c r="E14" s="44" t="inlineStr">
        <is>
          <t>reg-born</t>
        </is>
      </c>
      <c r="F14" s="44" t="inlineStr">
        <is>
          <t>C</t>
        </is>
      </c>
      <c r="G14" s="44" t="inlineStr">
        <is>
          <t>P</t>
        </is>
      </c>
      <c r="H14" s="44" t="inlineStr">
        <is>
          <t>P</t>
        </is>
      </c>
      <c r="I14" s="44" t="inlineStr">
        <is>
          <t>P</t>
        </is>
      </c>
      <c r="J14" s="44" t="inlineStr">
        <is>
          <t>PT</t>
        </is>
      </c>
      <c r="K14" s="44" t="inlineStr">
        <is>
          <t>P</t>
        </is>
      </c>
      <c r="L14" s="44" t="inlineStr">
        <is>
          <t>P</t>
        </is>
      </c>
      <c r="M14" s="45" t="inlineStr">
        <is>
          <t>F</t>
        </is>
      </c>
      <c r="N14" s="45" t="inlineStr">
        <is>
          <t>F</t>
        </is>
      </c>
      <c r="O14" s="44" t="inlineStr">
        <is>
          <t>P</t>
        </is>
      </c>
      <c r="P14" s="44" t="inlineStr">
        <is>
          <t>na</t>
        </is>
      </c>
      <c r="Q14" s="44" t="inlineStr">
        <is>
          <t>MOD</t>
        </is>
      </c>
      <c r="R14" s="44" t="inlineStr">
        <is>
          <t>A4: ADV-004 dated '2024-11' (month only). A7 FAIL: '8 Jul'. Figures verify: radiator 2024-11-15@264347 = ADV-004. Distinct from OI-62 (no dup).</t>
        </is>
      </c>
      <c r="S14" s="44" t="inlineStr">
        <is>
          <t>RA-5; ADV-004; Facts §3; ledger radiator 2024-11-15@264347</t>
        </is>
      </c>
    </row>
    <row r="15">
      <c r="A15" s="44" t="n">
        <v>14</v>
      </c>
      <c r="B15" s="44" t="inlineStr">
        <is>
          <t>OI-4</t>
        </is>
      </c>
      <c r="C15" s="44" t="inlineStr">
        <is>
          <t>RA-6 medical readiness (WFA/screening/kit)</t>
        </is>
      </c>
      <c r="D15" s="44" t="inlineStr">
        <is>
          <t>T1/T2</t>
        </is>
      </c>
      <c r="E15" s="44" t="inlineStr">
        <is>
          <t>reg-born</t>
        </is>
      </c>
      <c r="F15" s="44" t="inlineStr">
        <is>
          <t>C</t>
        </is>
      </c>
      <c r="G15" s="44" t="inlineStr">
        <is>
          <t>P</t>
        </is>
      </c>
      <c r="H15" s="44" t="inlineStr">
        <is>
          <t>P</t>
        </is>
      </c>
      <c r="I15" s="44" t="inlineStr">
        <is>
          <t>P</t>
        </is>
      </c>
      <c r="J15" s="44" t="inlineStr">
        <is>
          <t>P*</t>
        </is>
      </c>
      <c r="K15" s="45" t="inlineStr">
        <is>
          <t>F?</t>
        </is>
      </c>
      <c r="L15" s="45" t="inlineStr">
        <is>
          <t>F</t>
        </is>
      </c>
      <c r="M15" s="45" t="inlineStr">
        <is>
          <t>F</t>
        </is>
      </c>
      <c r="N15" s="45" t="inlineStr">
        <is>
          <t>F</t>
        </is>
      </c>
      <c r="O15" s="44" t="inlineStr">
        <is>
          <t>P</t>
        </is>
      </c>
      <c r="P15" s="44" t="inlineStr">
        <is>
          <t>na</t>
        </is>
      </c>
      <c r="Q15" s="46" t="inlineStr">
        <is>
          <t>SIG</t>
        </is>
      </c>
      <c r="R15" s="44" t="inlineStr">
        <is>
          <t>SIG (medical safety). A6 FAIL: three independent sub-items (WFA / screening / kit+paperwork) close separately. A7 FAIL: '8 Jul'.</t>
        </is>
      </c>
      <c r="S15" s="44" t="inlineStr">
        <is>
          <t>RA-6; R37 destination</t>
        </is>
      </c>
    </row>
    <row r="16">
      <c r="A16" s="44" t="n">
        <v>15</v>
      </c>
      <c r="B16" s="44" t="inlineStr">
        <is>
          <t>OI-31</t>
        </is>
      </c>
      <c r="C16" s="44" t="inlineStr">
        <is>
          <t>Confirm model year off ID plate</t>
        </is>
      </c>
      <c r="D16" s="44" t="inlineStr">
        <is>
          <t>T3</t>
        </is>
      </c>
      <c r="E16" s="44" t="inlineStr">
        <is>
          <t>reg-born</t>
        </is>
      </c>
      <c r="F16" s="44" t="inlineStr">
        <is>
          <t>C</t>
        </is>
      </c>
      <c r="G16" s="44" t="inlineStr">
        <is>
          <t>P</t>
        </is>
      </c>
      <c r="H16" s="44" t="inlineStr">
        <is>
          <t>P</t>
        </is>
      </c>
      <c r="I16" s="44" t="inlineStr">
        <is>
          <t>P</t>
        </is>
      </c>
      <c r="J16" s="44" t="inlineStr">
        <is>
          <t>P*</t>
        </is>
      </c>
      <c r="K16" s="44" t="inlineStr">
        <is>
          <t>P</t>
        </is>
      </c>
      <c r="L16" s="44" t="inlineStr">
        <is>
          <t>P</t>
        </is>
      </c>
      <c r="M16" s="44" t="inlineStr">
        <is>
          <t>P*</t>
        </is>
      </c>
      <c r="N16" s="45" t="inlineStr">
        <is>
          <t>F</t>
        </is>
      </c>
      <c r="O16" s="44" t="inlineStr">
        <is>
          <t>P</t>
        </is>
      </c>
      <c r="P16" s="44" t="inlineStr">
        <is>
          <t>na</t>
        </is>
      </c>
      <c r="Q16" s="44" t="inlineStr">
        <is>
          <t>HK</t>
        </is>
      </c>
      <c r="R16" s="44" t="inlineStr">
        <is>
          <t>Cleanest low-risk item. Library holds 2009 pending; entry pre-charters the masthead sweep if plate contradicts. A7 near-pass: body names Facts §1.</t>
        </is>
      </c>
      <c r="S16" s="44" t="inlineStr">
        <is>
          <t>Facts §1 (descriptor '…5M 09'; RC1 no year); plate firewall/engine bay</t>
        </is>
      </c>
    </row>
    <row r="17">
      <c r="A17" s="44" t="n">
        <v>16</v>
      </c>
      <c r="B17" s="44" t="inlineStr">
        <is>
          <t>OI-7</t>
        </is>
      </c>
      <c r="C17" s="44" t="inlineStr">
        <is>
          <t>R40 §6 wheel-nut torque (131 Nm) verify</t>
        </is>
      </c>
      <c r="D17" s="44" t="inlineStr">
        <is>
          <t>T3</t>
        </is>
      </c>
      <c r="E17" s="44" t="inlineStr">
        <is>
          <t>S2/R40</t>
        </is>
      </c>
      <c r="F17" s="44" t="inlineStr">
        <is>
          <t>C</t>
        </is>
      </c>
      <c r="G17" s="44" t="inlineStr">
        <is>
          <t>P</t>
        </is>
      </c>
      <c r="H17" s="45" t="inlineStr">
        <is>
          <t>F</t>
        </is>
      </c>
      <c r="I17" s="44" t="inlineStr">
        <is>
          <t>P*</t>
        </is>
      </c>
      <c r="J17" s="44" t="inlineStr">
        <is>
          <t>P*</t>
        </is>
      </c>
      <c r="K17" s="44" t="inlineStr">
        <is>
          <t>P</t>
        </is>
      </c>
      <c r="L17" s="44" t="inlineStr">
        <is>
          <t>P</t>
        </is>
      </c>
      <c r="M17" s="44" t="inlineStr">
        <is>
          <t>P</t>
        </is>
      </c>
      <c r="N17" s="45" t="inlineStr">
        <is>
          <t>F</t>
        </is>
      </c>
      <c r="O17" s="44" t="inlineStr">
        <is>
          <t>P</t>
        </is>
      </c>
      <c r="P17" s="44" t="inlineStr">
        <is>
          <t>na</t>
        </is>
      </c>
      <c r="Q17" s="44" t="inlineStr">
        <is>
          <t>MOD</t>
        </is>
      </c>
      <c r="R17" s="44" t="inlineStr">
        <is>
          <t>A2 FAIL: ADV-010 (boost pipe clamp) OI-reffed to OI-7 (wheel-nut torque) — SUBJECT MISMATCH; boost-clamp check has no subject-correct entry. 131 Nm unverified (item's purpose).</t>
        </is>
      </c>
      <c r="S17" s="44" t="inlineStr">
        <is>
          <t>R40 §6; ADV-010 (mis-mapped); handbook</t>
        </is>
      </c>
    </row>
    <row r="18">
      <c r="A18" s="44" t="n">
        <v>17</v>
      </c>
      <c r="B18" s="44" t="inlineStr">
        <is>
          <t>OI-22</t>
        </is>
      </c>
      <c r="C18" s="44" t="inlineStr">
        <is>
          <t>RA-9 expedition tyre set (265/75R16)</t>
        </is>
      </c>
      <c r="D18" s="44" t="inlineStr">
        <is>
          <t>T2/T1/T3</t>
        </is>
      </c>
      <c r="E18" s="44" t="inlineStr">
        <is>
          <t>reg-born</t>
        </is>
      </c>
      <c r="F18" s="44" t="inlineStr">
        <is>
          <t>C</t>
        </is>
      </c>
      <c r="G18" s="44" t="inlineStr">
        <is>
          <t>P</t>
        </is>
      </c>
      <c r="H18" s="44" t="inlineStr">
        <is>
          <t>P</t>
        </is>
      </c>
      <c r="I18" s="44" t="inlineStr">
        <is>
          <t>P</t>
        </is>
      </c>
      <c r="J18" s="44" t="inlineStr">
        <is>
          <t>P*</t>
        </is>
      </c>
      <c r="K18" s="45" t="inlineStr">
        <is>
          <t>F</t>
        </is>
      </c>
      <c r="L18" s="45" t="inlineStr">
        <is>
          <t>F?</t>
        </is>
      </c>
      <c r="M18" s="44" t="inlineStr">
        <is>
          <t>PT</t>
        </is>
      </c>
      <c r="N18" s="45" t="inlineStr">
        <is>
          <t>F</t>
        </is>
      </c>
      <c r="O18" s="44" t="inlineStr">
        <is>
          <t>P</t>
        </is>
      </c>
      <c r="P18" s="44" t="inlineStr">
        <is>
          <t>na</t>
        </is>
      </c>
      <c r="Q18" s="44" t="inlineStr">
        <is>
          <t>MOD</t>
        </is>
      </c>
      <c r="R18" s="44" t="inlineStr">
        <is>
          <t>A5 status: OPEN should be WAITING-DATE (~2027). A6 cand: fit/prove/drill (2nd-spare already split to OI-19).</t>
        </is>
      </c>
      <c r="S18" s="44" t="inlineStr">
        <is>
          <t>RA-9 (EX_Register); R37 drill row; R31 PLANNED row</t>
        </is>
      </c>
    </row>
    <row r="19">
      <c r="A19" s="44" t="n">
        <v>18</v>
      </c>
      <c r="B19" s="44" t="inlineStr">
        <is>
          <t>OI-21</t>
        </is>
      </c>
      <c r="C19" s="44" t="inlineStr">
        <is>
          <t>RA-3 timing belt + tensioner pre-departure</t>
        </is>
      </c>
      <c r="D19" s="44" t="inlineStr">
        <is>
          <t>T1</t>
        </is>
      </c>
      <c r="E19" s="44" t="inlineStr">
        <is>
          <t>reg-born</t>
        </is>
      </c>
      <c r="F19" s="44" t="inlineStr">
        <is>
          <t>C</t>
        </is>
      </c>
      <c r="G19" s="44" t="inlineStr">
        <is>
          <t>P</t>
        </is>
      </c>
      <c r="H19" s="44" t="inlineStr">
        <is>
          <t>P</t>
        </is>
      </c>
      <c r="I19" s="44" t="inlineStr">
        <is>
          <t>P</t>
        </is>
      </c>
      <c r="J19" s="44" t="inlineStr">
        <is>
          <t>P*</t>
        </is>
      </c>
      <c r="K19" s="45" t="inlineStr">
        <is>
          <t>F</t>
        </is>
      </c>
      <c r="L19" s="44" t="inlineStr">
        <is>
          <t>P</t>
        </is>
      </c>
      <c r="M19" s="44" t="inlineStr">
        <is>
          <t>PT</t>
        </is>
      </c>
      <c r="N19" s="45" t="inlineStr">
        <is>
          <t>F</t>
        </is>
      </c>
      <c r="O19" s="44" t="inlineStr">
        <is>
          <t>P</t>
        </is>
      </c>
      <c r="P19" s="44" t="inlineStr">
        <is>
          <t>na</t>
        </is>
      </c>
      <c r="Q19" s="44" t="inlineStr">
        <is>
          <t>MOD</t>
        </is>
      </c>
      <c r="R19" s="44" t="inlineStr">
        <is>
          <t>Safety-critical (interference engine) but entry SOUND. A5 status: OPEN should be WAITING-DATE (~T-3mo/2028). A3 verifies: full Cambelt kit 2025-04-23@273023.</t>
        </is>
      </c>
      <c r="S19" s="44" t="inlineStr">
        <is>
          <t>RA-3; Facts §4; ledger Cambelt kit 2025-04-23@273023; interval→~373000</t>
        </is>
      </c>
    </row>
    <row r="20">
      <c r="A20" s="44" t="n">
        <v>19</v>
      </c>
      <c r="B20" s="44" t="inlineStr">
        <is>
          <t>OI-24</t>
        </is>
      </c>
      <c r="C20" s="44" t="inlineStr">
        <is>
          <t>Pre-departure admin sweep — disc + BOTH cards</t>
        </is>
      </c>
      <c r="D20" s="44" t="inlineStr">
        <is>
          <t>T4/T1</t>
        </is>
      </c>
      <c r="E20" s="44" t="inlineStr">
        <is>
          <t>reg-born</t>
        </is>
      </c>
      <c r="F20" s="44" t="inlineStr">
        <is>
          <t>C</t>
        </is>
      </c>
      <c r="G20" s="44" t="inlineStr">
        <is>
          <t>P</t>
        </is>
      </c>
      <c r="H20" s="44" t="inlineStr">
        <is>
          <t>P</t>
        </is>
      </c>
      <c r="I20" s="44" t="inlineStr">
        <is>
          <t>P</t>
        </is>
      </c>
      <c r="J20" s="44" t="inlineStr">
        <is>
          <t>P*</t>
        </is>
      </c>
      <c r="K20" s="44" t="inlineStr">
        <is>
          <t>P</t>
        </is>
      </c>
      <c r="L20" s="45" t="inlineStr">
        <is>
          <t>F</t>
        </is>
      </c>
      <c r="M20" s="44" t="inlineStr">
        <is>
          <t>P</t>
        </is>
      </c>
      <c r="N20" s="45" t="inlineStr">
        <is>
          <t>F</t>
        </is>
      </c>
      <c r="O20" s="44" t="inlineStr">
        <is>
          <t>P</t>
        </is>
      </c>
      <c r="P20" s="44" t="inlineStr">
        <is>
          <t>na</t>
        </is>
      </c>
      <c r="Q20" s="46" t="inlineStr">
        <is>
          <t>SIG</t>
        </is>
      </c>
      <c r="R20" s="44" t="inlineStr">
        <is>
          <t>SIG: Mary-Ann's card renewal MANDATORY &amp; time-critical (mid-2029; kills IDPs/insurance/RA-8). A6 FAIL: FOUR sub-items, different criticality/timing — carve out M-A card. BEST-EVIDENCED: E1 cards + E3 WCG ref 260717-000921.</t>
        </is>
      </c>
      <c r="S20" s="44" t="inlineStr">
        <is>
          <t>R29 checklist; R39 §4; OI-27 WCG ref 260717-000921; Annex §4</t>
        </is>
      </c>
    </row>
    <row r="21">
      <c r="A21" s="44" t="n">
        <v>20</v>
      </c>
      <c r="B21" s="44" t="inlineStr">
        <is>
          <t>OI-25</t>
        </is>
      </c>
      <c r="C21" s="44" t="inlineStr">
        <is>
          <t>Mid-expedition disc renewal waypoint</t>
        </is>
      </c>
      <c r="D21" s="44" t="inlineStr">
        <is>
          <t>T4/T1</t>
        </is>
      </c>
      <c r="E21" s="44" t="inlineStr">
        <is>
          <t>reg-born</t>
        </is>
      </c>
      <c r="F21" s="44" t="inlineStr">
        <is>
          <t>C</t>
        </is>
      </c>
      <c r="G21" s="44" t="inlineStr">
        <is>
          <t>P</t>
        </is>
      </c>
      <c r="H21" s="44" t="inlineStr">
        <is>
          <t>P</t>
        </is>
      </c>
      <c r="I21" s="44" t="inlineStr">
        <is>
          <t>P</t>
        </is>
      </c>
      <c r="J21" s="44" t="inlineStr">
        <is>
          <t>P*</t>
        </is>
      </c>
      <c r="K21" s="45" t="inlineStr">
        <is>
          <t>F</t>
        </is>
      </c>
      <c r="L21" s="44" t="inlineStr">
        <is>
          <t>P</t>
        </is>
      </c>
      <c r="M21" s="45" t="inlineStr">
        <is>
          <t>F</t>
        </is>
      </c>
      <c r="N21" s="45" t="inlineStr">
        <is>
          <t>F</t>
        </is>
      </c>
      <c r="O21" s="44" t="inlineStr">
        <is>
          <t>P*</t>
        </is>
      </c>
      <c r="P21" s="44" t="inlineStr">
        <is>
          <t>na</t>
        </is>
      </c>
      <c r="Q21" s="44" t="inlineStr">
        <is>
          <t>MOD</t>
        </is>
      </c>
      <c r="R21" s="44" t="inlineStr">
        <is>
          <t>A5 status: OPEN should be WAITING-DATE/BLOCKED (EX-9 sets calendar first). A7 FAIL: 'EX-9 thread 13 Jul'. A9: proxy is an unfilled role.</t>
        </is>
      </c>
      <c r="S21" s="44" t="inlineStr">
        <is>
          <t>R39 §4; OI-24 fallback; EX-9 route calendar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5" customWidth="1" style="21" min="1" max="1"/>
    <col width="112" customWidth="1" style="21" min="2" max="2"/>
  </cols>
  <sheetData>
    <row r="1">
      <c r="A1" s="47" t="inlineStr">
        <is>
          <t>A3 RECONCILIATIONS — re-runnable; as-at candidates: 308,248 / 310,412 / 311,000 (ledger max)</t>
        </is>
      </c>
    </row>
    <row r="2">
      <c r="A2" s="20" t="inlineStr"/>
    </row>
    <row r="3">
      <c r="A3" s="48" t="inlineStr">
        <is>
          <t>OI-62 COOLANT FLUSH — ADV-009 / Facts §3</t>
        </is>
      </c>
    </row>
    <row r="4">
      <c r="A4" s="49" t="inlineStr">
        <is>
          <t>Claim</t>
        </is>
      </c>
      <c r="B4" s="50" t="inlineStr">
        <is>
          <t>'last flush Aug 2023 @ 224,406 km; ~86,006 km overdue'</t>
        </is>
      </c>
    </row>
    <row r="5">
      <c r="A5" s="49" t="inlineStr">
        <is>
          <t>Ledger</t>
        </is>
      </c>
      <c r="B5" s="50" t="inlineStr">
        <is>
          <t>only 'Flush cooling system' = 2023-08-18 @ 224,406 (one-flush claim TRUE)</t>
        </is>
      </c>
    </row>
    <row r="6">
      <c r="A6" s="49" t="inlineStr">
        <is>
          <t>Recompute</t>
        </is>
      </c>
      <c r="B6" s="50" t="inlineStr">
        <is>
          <t>310,412 - 224,406 = 86,006 EXACT → figure is ELAPSED-since-flush, not overdue-beyond-interval</t>
        </is>
      </c>
    </row>
    <row r="7">
      <c r="A7" s="49" t="inlineStr">
        <is>
          <t>Interval</t>
        </is>
      </c>
      <c r="B7" s="50" t="inlineStr">
        <is>
          <t>NONE stated (ADV/OIR/Facts) → 'overdue' uncomputable as written</t>
        </is>
      </c>
    </row>
    <row r="8">
      <c r="A8" s="49" t="inlineStr">
        <is>
          <t>Cross-instr</t>
        </is>
      </c>
      <c r="B8" s="50" t="inlineStr">
        <is>
          <t>Facts §3 = '~85,000 AGO' (honest label) vs OIR/ADV '~86,006 OVERDUE' — same event, two numbers, two labels</t>
        </is>
      </c>
    </row>
    <row r="9">
      <c r="A9" s="49" t="inlineStr">
        <is>
          <t>As-at</t>
        </is>
      </c>
      <c r="B9" s="50" t="inlineStr">
        <is>
          <t>ADV-009 Mileage cell = 308,248 but 86,006 keys to 310,412</t>
        </is>
      </c>
    </row>
    <row r="10">
      <c r="A10" s="49" t="inlineStr">
        <is>
          <t>Verdict</t>
        </is>
      </c>
      <c r="B10" s="50" t="inlineStr">
        <is>
          <t>A3 FAIL on flush quantum. Thermostat/pump 'no record' = TRUE (E2). Underlying flush obligation may be valid; the quantification is not.</t>
        </is>
      </c>
    </row>
    <row r="11">
      <c r="A11" s="20" t="inlineStr"/>
    </row>
    <row r="12">
      <c r="A12" s="48" t="inlineStr">
        <is>
          <t>OI-63 WHEEL BEARING REPACK — ADV-007 / Facts §3</t>
        </is>
      </c>
    </row>
    <row r="13">
      <c r="A13" s="49" t="inlineStr">
        <is>
          <t>Claim</t>
        </is>
      </c>
      <c r="B13" s="50" t="inlineStr">
        <is>
          <t>'last repack ~245,000; interval 20,000 severe-use; ~63,684 km overdue'</t>
        </is>
      </c>
    </row>
    <row r="14">
      <c r="A14" s="49" t="inlineStr">
        <is>
          <t>Candidates</t>
        </is>
      </c>
      <c r="B14" s="50" t="inlineStr">
        <is>
          <t>243,189 (2023-10-27) grease=repack | 245,370 (2023-11-14) hub REPLACEMENT | 271,200 (2025-02-13) wheelbearings f+r REPLACEMENT (new grease)</t>
        </is>
      </c>
    </row>
    <row r="15">
      <c r="A15" s="49" t="inlineStr">
        <is>
          <t>Solve</t>
        </is>
      </c>
      <c r="B15" s="50" t="inlineStr">
        <is>
          <t>245,000 + 63,684 = 308,684 = elapsed to a PHANTOM as-at; interval NOT subtracted despite 'overdue'</t>
        </is>
      </c>
    </row>
    <row r="16">
      <c r="A16" s="49" t="inlineStr">
        <is>
          <t>Repl. basis</t>
        </is>
      </c>
      <c r="B16" s="50" t="inlineStr">
        <is>
          <t>if 271,200 resets clock: 311,000-271,200 = 39,800 elapsed; overdue-by-interval ≈ 19,800 → claim overstates ~3x</t>
        </is>
      </c>
    </row>
    <row r="17">
      <c r="A17" s="49" t="inlineStr">
        <is>
          <t>Cross-instr</t>
        </is>
      </c>
      <c r="B17" s="50" t="inlineStr">
        <is>
          <t>Facts §3 = '~65,000 AGO' from 245,000 vs OIR '~63,684 OVERDUE' — neither subtracts interval; both ignore 271,200 replacement</t>
        </is>
      </c>
    </row>
    <row r="18">
      <c r="A18" s="49" t="inlineStr">
        <is>
          <t>Verdict</t>
        </is>
      </c>
      <c r="B18" s="50" t="inlineStr">
        <is>
          <t>A3 FAIL. Reset point 245,000 vs 271,200 is an unstated engineering assumption; 63,684 recomputes to no traceable (reset, as-at) pair. Repack may be due (39,800&gt;20,000) but not by 63,684. Charter F-I confirmed.</t>
        </is>
      </c>
    </row>
    <row r="19">
      <c r="A19" s="20" t="inlineStr"/>
    </row>
    <row r="20">
      <c r="A20" s="49" t="inlineStr">
        <is>
          <t>Method</t>
        </is>
      </c>
      <c r="B20" s="50" t="inlineStr">
        <is>
          <t>All figures reproduced by the openpyxl/bash script run this session vs LC_Service_history_FINAL.xlsx Services at pinned HEAD cf4c4146 (data_only read). Re-run to reproduce — these are E2, not E5.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6" customWidth="1" style="21" min="1" max="1"/>
    <col width="8" customWidth="1" style="21" min="2" max="2"/>
    <col width="104" customWidth="1" style="21" min="3" max="3"/>
    <col width="7" customWidth="1" style="21" min="4" max="4"/>
  </cols>
  <sheetData>
    <row r="1">
      <c r="A1" s="43" t="inlineStr">
        <is>
          <t>ID</t>
        </is>
      </c>
      <c r="B1" s="43" t="inlineStr">
        <is>
          <t>Assn</t>
        </is>
      </c>
      <c r="C1" s="43" t="inlineStr">
        <is>
          <t>Cross-cutting finding (items 1-20)</t>
        </is>
      </c>
      <c r="D1" s="43" t="inlineStr">
        <is>
          <t>Rating</t>
        </is>
      </c>
    </row>
    <row r="2">
      <c r="A2" s="44" t="inlineStr">
        <is>
          <t>CC-1</t>
        </is>
      </c>
      <c r="B2" s="44" t="inlineStr">
        <is>
          <t>A8</t>
        </is>
      </c>
      <c r="C2" s="44" t="inlineStr">
        <is>
          <t>0 of 20 entries carry a status-confirmation / next-due date (charter population 0/40). Universal.</t>
        </is>
      </c>
      <c r="D2" s="46" t="inlineStr">
        <is>
          <t>SIG</t>
        </is>
      </c>
    </row>
    <row r="3">
      <c r="A3" s="44" t="inlineStr">
        <is>
          <t>CC-2</t>
        </is>
      </c>
      <c r="B3" s="44" t="inlineStr">
        <is>
          <t>A4</t>
        </is>
      </c>
      <c r="C3" s="44" t="inlineStr">
        <is>
          <t>Register-level as-at present (header 29 Jul 2026); 0/20 entries carry a per-entry as-at date. Design finding.</t>
        </is>
      </c>
      <c r="D3" s="44" t="inlineStr">
        <is>
          <t>MOD</t>
        </is>
      </c>
    </row>
    <row r="4">
      <c r="A4" s="44" t="inlineStr">
        <is>
          <t>CC-3</t>
        </is>
      </c>
      <c r="B4" s="44" t="inlineStr">
        <is>
          <t>A7</t>
        </is>
      </c>
      <c r="C4" s="44" t="inlineStr">
        <is>
          <t>Source FIELD names a moment not a place for 8/20 (OI-1,2,4,5,6,25,43,47). Several mitigated by a place in the BODY. Consultant-review-8-Jul class weakest. Cheap fix: promote body-locator into source field.</t>
        </is>
      </c>
      <c r="D4" s="46" t="inlineStr">
        <is>
          <t>SIG</t>
        </is>
      </c>
    </row>
    <row r="5">
      <c r="A5" s="44" t="inlineStr">
        <is>
          <t>CC-4</t>
        </is>
      </c>
      <c r="B5" s="44" t="inlineStr">
        <is>
          <t>A5</t>
        </is>
      </c>
      <c r="C5" s="44" t="inlineStr">
        <is>
          <t>Free-text status hides controlled-vocab: OI-8=DONE-PENDING-EVIDENCE; OI-21,22=WAITING-DATE; OI-25=WAITING-DATE/BLOCKED (EX-9). Previews Session-5 migration.</t>
        </is>
      </c>
      <c r="D5" s="44" t="inlineStr">
        <is>
          <t>MOD</t>
        </is>
      </c>
    </row>
    <row r="6">
      <c r="A6" s="44" t="inlineStr">
        <is>
          <t>CC-5</t>
        </is>
      </c>
      <c r="B6" s="44" t="inlineStr">
        <is>
          <t>A6</t>
        </is>
      </c>
      <c r="C6" s="44" t="inlineStr">
        <is>
          <t>Multi-job entries: OI-61(2 indep), OI-62(3), OI-4(3), OI-24(4) = the 'five are more than one job', + OI-66(2 dependent). Softer: OI-5,43,47,22.</t>
        </is>
      </c>
      <c r="D6" s="46" t="inlineStr">
        <is>
          <t>SIG</t>
        </is>
      </c>
    </row>
    <row r="7">
      <c r="A7" s="44" t="inlineStr">
        <is>
          <t>CC-6</t>
        </is>
      </c>
      <c r="B7" s="44" t="inlineStr">
        <is>
          <t>A3/A5</t>
        </is>
      </c>
      <c r="C7" s="44" t="inlineStr">
        <is>
          <t>Facts §3 (FIGURES master) carries a parallel STATUS list competing with the OIR (STATUS master) — mastership seam — with DIFFERENT numbers for the same facts (coolant 85,000 vs 86,006; bearing 65,000 vs 63,684). Observed per handover; NOT acted on.</t>
        </is>
      </c>
      <c r="D7" s="46" t="inlineStr">
        <is>
          <t>SIG</t>
        </is>
      </c>
    </row>
    <row r="8">
      <c r="A8" s="44" t="inlineStr">
        <is>
          <t>CC-7</t>
        </is>
      </c>
      <c r="B8" s="44" t="inlineStr">
        <is>
          <t>A2</t>
        </is>
      </c>
      <c r="C8" s="44" t="inlineStr">
        <is>
          <t>ADV-010 (boost pipe clamp) OI-reffed to OI-7 (wheel-nut torque) — subject mismatch; boost-clamp check lacks a subject-correct entry. S1 verified ref-openness, not subject-match.</t>
        </is>
      </c>
      <c r="D8" s="44" t="inlineStr">
        <is>
          <t>MOD</t>
        </is>
      </c>
    </row>
    <row r="9">
      <c r="A9" s="44" t="inlineStr">
        <is>
          <t>N-1</t>
        </is>
      </c>
      <c r="B9" s="44" t="inlineStr">
        <is>
          <t>A5</t>
        </is>
      </c>
      <c r="C9" s="44" t="inlineStr">
        <is>
          <t>Facts §3 forward-looking coolant note names a supplier ('Review at Snyman') vs supplier-naming discipline. Minor.</t>
        </is>
      </c>
      <c r="D9" s="44" t="inlineStr">
        <is>
          <t>HK</t>
        </is>
      </c>
    </row>
    <row r="10">
      <c r="A10" s="44" t="inlineStr">
        <is>
          <t>—</t>
        </is>
      </c>
      <c r="B10" s="44" t="inlineStr">
        <is>
          <t>Indep.</t>
        </is>
      </c>
      <c r="C10" s="44" t="inlineStr">
        <is>
          <t>S3: all 20 entries authored by Claude → whole batch self-review, read harder. No finding rests on assertion — each cites file+locator or the re-runnable A3 script (E1-E4/E2). 'Validation clean' excluded as E5.</t>
        </is>
      </c>
      <c r="D10" s="44" t="inlineStr">
        <is>
          <t>note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4" customWidth="1" style="21" min="1" max="1"/>
    <col width="8" customWidth="1" style="21" min="2" max="2"/>
    <col width="34" customWidth="1" style="21" min="3" max="3"/>
    <col width="13" customWidth="1" style="21" min="4" max="4"/>
    <col width="10" customWidth="1" style="21" min="5" max="5"/>
    <col width="4" customWidth="1" style="21" min="6" max="6"/>
    <col width="4" customWidth="1" style="21" min="7" max="7"/>
    <col width="4" customWidth="1" style="21" min="8" max="8"/>
    <col width="4" customWidth="1" style="21" min="9" max="9"/>
    <col width="4" customWidth="1" style="21" min="10" max="10"/>
    <col width="4" customWidth="1" style="21" min="11" max="11"/>
    <col width="4" customWidth="1" style="21" min="12" max="12"/>
    <col width="4" customWidth="1" style="21" min="13" max="13"/>
    <col width="5" customWidth="1" style="21" min="14" max="14"/>
    <col width="7" customWidth="1" style="21" min="15" max="15"/>
    <col width="60" customWidth="1" style="21" min="16" max="16"/>
    <col width="34" customWidth="1" style="21" min="17" max="17"/>
  </cols>
  <sheetData>
    <row r="1">
      <c r="A1" s="51" t="inlineStr">
        <is>
          <t>#</t>
        </is>
      </c>
      <c r="B1" s="51" t="inlineStr">
        <is>
          <t>OI</t>
        </is>
      </c>
      <c r="C1" s="51" t="inlineStr">
        <is>
          <t>Short title</t>
        </is>
      </c>
      <c r="D1" s="51" t="inlineStr">
        <is>
          <t>Type</t>
        </is>
      </c>
      <c r="E1" s="51" t="inlineStr">
        <is>
          <t>Stream</t>
        </is>
      </c>
      <c r="F1" s="51" t="inlineStr">
        <is>
          <t>A1</t>
        </is>
      </c>
      <c r="G1" s="51" t="inlineStr">
        <is>
          <t>A2</t>
        </is>
      </c>
      <c r="H1" s="51" t="inlineStr">
        <is>
          <t>A3</t>
        </is>
      </c>
      <c r="I1" s="51" t="inlineStr">
        <is>
          <t>A4</t>
        </is>
      </c>
      <c r="J1" s="51" t="inlineStr">
        <is>
          <t>A5</t>
        </is>
      </c>
      <c r="K1" s="51" t="inlineStr">
        <is>
          <t>A6</t>
        </is>
      </c>
      <c r="L1" s="51" t="inlineStr">
        <is>
          <t>A7</t>
        </is>
      </c>
      <c r="M1" s="51" t="inlineStr">
        <is>
          <t>A8</t>
        </is>
      </c>
      <c r="N1" s="51" t="inlineStr">
        <is>
          <t>A10</t>
        </is>
      </c>
      <c r="O1" s="51" t="inlineStr">
        <is>
          <t>Rating</t>
        </is>
      </c>
      <c r="P1" s="51" t="inlineStr">
        <is>
          <t>Key finding</t>
        </is>
      </c>
      <c r="Q1" s="51" t="inlineStr">
        <is>
          <t>Evidence locators</t>
        </is>
      </c>
    </row>
    <row r="2">
      <c r="A2" s="20" t="n">
        <v>21</v>
      </c>
      <c r="B2" s="20" t="inlineStr">
        <is>
          <t>OI-59</t>
        </is>
      </c>
      <c r="C2" s="20" t="inlineStr">
        <is>
          <t>Open Items dashboard (readable HTML view)</t>
        </is>
      </c>
      <c r="D2" s="20" t="inlineStr">
        <is>
          <t>T5 build</t>
        </is>
      </c>
      <c r="E2" s="20" t="inlineStr">
        <is>
          <t>S3</t>
        </is>
      </c>
      <c r="F2" s="20" t="inlineStr">
        <is>
          <t>P</t>
        </is>
      </c>
      <c r="G2" s="20" t="inlineStr">
        <is>
          <t>P</t>
        </is>
      </c>
      <c r="H2" s="20" t="inlineStr">
        <is>
          <t>P</t>
        </is>
      </c>
      <c r="I2" s="20" t="inlineStr">
        <is>
          <t>sys</t>
        </is>
      </c>
      <c r="J2" s="20" t="inlineStr">
        <is>
          <t>F</t>
        </is>
      </c>
      <c r="K2" s="20" t="inlineStr">
        <is>
          <t>P</t>
        </is>
      </c>
      <c r="L2" s="20" t="inlineStr">
        <is>
          <t>F</t>
        </is>
      </c>
      <c r="M2" s="20" t="inlineStr">
        <is>
          <t>sys</t>
        </is>
      </c>
      <c r="N2" s="20" t="inlineStr">
        <is>
          <t>N/A</t>
        </is>
      </c>
      <c r="O2" s="52" t="inlineStr">
        <is>
          <t>MOD</t>
        </is>
      </c>
      <c r="P2" s="30" t="inlineStr">
        <is>
          <t>Well-cross-referenced Session-6 deliverable; prototype built+pushed, unwired by design. Status 'PARTIALLY EXECUTED' is free text, not controlled vocab (should be DONE-PENDING/BLOCKED-on-audit). Source cites a moment (owner request 29 Jul), not a place.</t>
        </is>
      </c>
      <c r="Q2" s="30" t="inlineStr">
        <is>
          <t>OIR L288-338; charter Session-6; sw.js (unwired confirmed)</t>
        </is>
      </c>
    </row>
    <row r="3">
      <c r="A3" s="20" t="n">
        <v>22</v>
      </c>
      <c r="B3" s="20" t="inlineStr">
        <is>
          <t>OI-60</t>
        </is>
      </c>
      <c r="C3" s="20" t="inlineStr">
        <is>
          <t>Print standard never took effect — library-wide</t>
        </is>
      </c>
      <c r="D3" s="20" t="inlineStr">
        <is>
          <t>T5 build</t>
        </is>
      </c>
      <c r="E3" s="20" t="inlineStr">
        <is>
          <t>S5</t>
        </is>
      </c>
      <c r="F3" s="20" t="inlineStr">
        <is>
          <t>P</t>
        </is>
      </c>
      <c r="G3" s="20" t="inlineStr">
        <is>
          <t>P</t>
        </is>
      </c>
      <c r="H3" s="20" t="inlineStr">
        <is>
          <t>P</t>
        </is>
      </c>
      <c r="I3" s="20" t="inlineStr">
        <is>
          <t>sys</t>
        </is>
      </c>
      <c r="J3" s="20" t="inlineStr">
        <is>
          <t>P</t>
        </is>
      </c>
      <c r="K3" s="20" t="inlineStr">
        <is>
          <t>P</t>
        </is>
      </c>
      <c r="L3" s="20" t="inlineStr">
        <is>
          <t>P</t>
        </is>
      </c>
      <c r="M3" s="20" t="inlineStr">
        <is>
          <t>sys</t>
        </is>
      </c>
      <c r="N3" s="20" t="inlineStr">
        <is>
          <t>N/A</t>
        </is>
      </c>
      <c r="O3" s="53" t="inlineStr">
        <is>
          <t>SIG</t>
        </is>
      </c>
      <c r="P3" s="30" t="inlineStr">
        <is>
          <t>Real defect in all 71 files (rem sized vs body print rule). Diagnostic figures (71 files, 1,547 rem, 52/9/9/1) are E2 re-runnable. SIGNIFICANT because DG §16 currently MANDATES a form that cannot work and files have been mis-certified §16-compliant repeatedly — an active hazard, not just a backlog.</t>
        </is>
      </c>
      <c r="Q3" s="30" t="inlineStr">
        <is>
          <t>OIR L340-370; DG §16; prototype in How_To_Use_This_Library.html</t>
        </is>
      </c>
    </row>
    <row r="4">
      <c r="A4" s="20" t="n">
        <v>23</v>
      </c>
      <c r="B4" s="20" t="inlineStr">
        <is>
          <t>OI-13</t>
        </is>
      </c>
      <c r="C4" s="20" t="inlineStr">
        <is>
          <t>R23 post-trip review + RA-8 solo assessment</t>
        </is>
      </c>
      <c r="D4" s="20" t="inlineStr">
        <is>
          <t>T7/event</t>
        </is>
      </c>
      <c r="E4" s="20" t="inlineStr">
        <is>
          <t>S-std</t>
        </is>
      </c>
      <c r="F4" s="20" t="inlineStr">
        <is>
          <t>P</t>
        </is>
      </c>
      <c r="G4" s="20" t="inlineStr">
        <is>
          <t>P</t>
        </is>
      </c>
      <c r="H4" s="20" t="inlineStr">
        <is>
          <t>P</t>
        </is>
      </c>
      <c r="I4" s="20" t="inlineStr">
        <is>
          <t>sys</t>
        </is>
      </c>
      <c r="J4" s="20" t="inlineStr">
        <is>
          <t>F</t>
        </is>
      </c>
      <c r="K4" s="20" t="inlineStr">
        <is>
          <t>F</t>
        </is>
      </c>
      <c r="L4" s="20" t="inlineStr">
        <is>
          <t>P</t>
        </is>
      </c>
      <c r="M4" s="20" t="inlineStr">
        <is>
          <t>sys</t>
        </is>
      </c>
      <c r="N4" s="20" t="inlineStr">
        <is>
          <t>N/A</t>
        </is>
      </c>
      <c r="O4" s="52" t="inlineStr">
        <is>
          <t>MOD</t>
        </is>
      </c>
      <c r="P4" s="30" t="inlineStr">
        <is>
          <t>A6: two distinct deliverables (post-trip review + RA-8 solo capability) welded into one entry — deliberate (24 Jul retitle for discoverability) and dependency-justified, but two closures. Status 'OPEN — calendar-triggered' is really WAITING-DATE (Karoo return ~Sep 2026; date in annex).</t>
        </is>
      </c>
      <c r="Q4" s="30" t="inlineStr">
        <is>
          <t>OIR L372-377; R23 §7; RA-8; PRIVATE ANNEX §4 (trigger)</t>
        </is>
      </c>
    </row>
    <row r="5">
      <c r="A5" s="20" t="n">
        <v>24</v>
      </c>
      <c r="B5" s="20" t="inlineStr">
        <is>
          <t>OI-12</t>
        </is>
      </c>
      <c r="C5" s="20" t="inlineStr">
        <is>
          <t>EX-9 route &amp; licence-break workshop</t>
        </is>
      </c>
      <c r="D5" s="20" t="inlineStr">
        <is>
          <t>T4 decision</t>
        </is>
      </c>
      <c r="E5" s="20" t="inlineStr">
        <is>
          <t>S-owner</t>
        </is>
      </c>
      <c r="F5" s="20" t="inlineStr">
        <is>
          <t>P</t>
        </is>
      </c>
      <c r="G5" s="20" t="inlineStr">
        <is>
          <t>P</t>
        </is>
      </c>
      <c r="H5" s="20" t="inlineStr">
        <is>
          <t>P</t>
        </is>
      </c>
      <c r="I5" s="20" t="inlineStr">
        <is>
          <t>sys</t>
        </is>
      </c>
      <c r="J5" s="20" t="inlineStr">
        <is>
          <t>P</t>
        </is>
      </c>
      <c r="K5" s="20" t="inlineStr">
        <is>
          <t>F</t>
        </is>
      </c>
      <c r="L5" s="20" t="inlineStr">
        <is>
          <t>P</t>
        </is>
      </c>
      <c r="M5" s="20" t="inlineStr">
        <is>
          <t>sys</t>
        </is>
      </c>
      <c r="N5" s="20" t="inlineStr">
        <is>
          <t>N/A</t>
        </is>
      </c>
      <c r="O5" s="53" t="inlineStr">
        <is>
          <t>SIG</t>
        </is>
      </c>
      <c r="P5" s="30" t="inlineStr">
        <is>
          <t>SIGNIFICANT: gates the whole expedition structure. Carnet 12-month interlock on a 24-month no-return trip is a genuine feasibility constraint that, unresolved, invalidates Option A's shape. A6: bundles route-direction flip + licence-break + calendar + disc waypoint (multi-decision).</t>
        </is>
      </c>
      <c r="Q5" s="30" t="inlineStr">
        <is>
          <t>OIR L379-390; EX charter; R38 §4 (skeleton); M4</t>
        </is>
      </c>
    </row>
    <row r="6">
      <c r="A6" s="20" t="n">
        <v>25</v>
      </c>
      <c r="B6" s="20" t="inlineStr">
        <is>
          <t>OI-11</t>
        </is>
      </c>
      <c r="C6" s="20" t="inlineStr">
        <is>
          <t>EX-8 R3 Consumables Ledger (+6 bundled deliverables)</t>
        </is>
      </c>
      <c r="D6" s="20" t="inlineStr">
        <is>
          <t>T5 build</t>
        </is>
      </c>
      <c r="E6" s="20" t="inlineStr">
        <is>
          <t>S-charter</t>
        </is>
      </c>
      <c r="F6" s="20" t="inlineStr">
        <is>
          <t>P</t>
        </is>
      </c>
      <c r="G6" s="20" t="inlineStr">
        <is>
          <t>F</t>
        </is>
      </c>
      <c r="H6" s="20" t="inlineStr">
        <is>
          <t>P</t>
        </is>
      </c>
      <c r="I6" s="20" t="inlineStr">
        <is>
          <t>sys</t>
        </is>
      </c>
      <c r="J6" s="20" t="inlineStr">
        <is>
          <t>P</t>
        </is>
      </c>
      <c r="K6" s="20" t="inlineStr">
        <is>
          <t>F</t>
        </is>
      </c>
      <c r="L6" s="20" t="inlineStr">
        <is>
          <t>P</t>
        </is>
      </c>
      <c r="M6" s="20" t="inlineStr">
        <is>
          <t>sys</t>
        </is>
      </c>
      <c r="N6" s="20" t="inlineStr">
        <is>
          <t>N/A</t>
        </is>
      </c>
      <c r="O6" s="53" t="inlineStr">
        <is>
          <t>SIG</t>
        </is>
      </c>
      <c r="P6" s="30" t="inlineStr">
        <is>
          <t>SIGNIFICANT: most egregious atomicity breach in the register — title bundles R3 ledger + R23 protocol + §06 retrofit + R40 kit gaps + RA-4 spares + no-trace kit + fire kit. A2 FAIL: R23 protocol already closed (OI-35) and §06 substantially closed (OI-36) — the entry still lists work done elsewhere, overstating what is open.</t>
        </is>
      </c>
      <c r="Q6" s="30" t="inlineStr">
        <is>
          <t>OIR L392-410; overlaps closed OI-35, subst-closed OI-36</t>
        </is>
      </c>
    </row>
    <row r="7">
      <c r="A7" s="20" t="n">
        <v>26</v>
      </c>
      <c r="B7" s="20" t="inlineStr">
        <is>
          <t>OI-10</t>
        </is>
      </c>
      <c r="C7" s="20" t="inlineStr">
        <is>
          <t>EX-11 crisis-critical printed field pack</t>
        </is>
      </c>
      <c r="D7" s="20" t="inlineStr">
        <is>
          <t>T1/T5</t>
        </is>
      </c>
      <c r="E7" s="20" t="inlineStr">
        <is>
          <t>S-charter</t>
        </is>
      </c>
      <c r="F7" s="20" t="inlineStr">
        <is>
          <t>P</t>
        </is>
      </c>
      <c r="G7" s="20" t="inlineStr">
        <is>
          <t>P</t>
        </is>
      </c>
      <c r="H7" s="20" t="inlineStr">
        <is>
          <t>P</t>
        </is>
      </c>
      <c r="I7" s="20" t="inlineStr">
        <is>
          <t>sys</t>
        </is>
      </c>
      <c r="J7" s="20" t="inlineStr">
        <is>
          <t>P</t>
        </is>
      </c>
      <c r="K7" s="20" t="inlineStr">
        <is>
          <t>P</t>
        </is>
      </c>
      <c r="L7" s="20" t="inlineStr">
        <is>
          <t>P</t>
        </is>
      </c>
      <c r="M7" s="20" t="inlineStr">
        <is>
          <t>sys</t>
        </is>
      </c>
      <c r="N7" s="20" t="inlineStr">
        <is>
          <t>N/A</t>
        </is>
      </c>
      <c r="O7" s="52" t="inlineStr">
        <is>
          <t>MOD</t>
        </is>
      </c>
      <c r="P7" s="30" t="inlineStr">
        <is>
          <t>Clean. Soft deadline pre-Karoo (event-anchored). Mitigates PWA device-dependency. No per-entry as-at.</t>
        </is>
      </c>
      <c r="Q7" s="30" t="inlineStr">
        <is>
          <t>OIR L411-416; EX-11; R1/R10/R18/R37</t>
        </is>
      </c>
    </row>
    <row r="8">
      <c r="A8" s="20" t="n">
        <v>27</v>
      </c>
      <c r="B8" s="20" t="inlineStr">
        <is>
          <t>OI-14</t>
        </is>
      </c>
      <c r="C8" s="20" t="inlineStr">
        <is>
          <t>EX-10 pre-departure profile currency refresh</t>
        </is>
      </c>
      <c r="D8" s="20" t="inlineStr">
        <is>
          <t>T7/dormant</t>
        </is>
      </c>
      <c r="E8" s="20" t="inlineStr">
        <is>
          <t>S-charter</t>
        </is>
      </c>
      <c r="F8" s="20" t="inlineStr">
        <is>
          <t>P</t>
        </is>
      </c>
      <c r="G8" s="20" t="inlineStr">
        <is>
          <t>P</t>
        </is>
      </c>
      <c r="H8" s="20" t="inlineStr">
        <is>
          <t>P</t>
        </is>
      </c>
      <c r="I8" s="20" t="inlineStr">
        <is>
          <t>sys</t>
        </is>
      </c>
      <c r="J8" s="20" t="inlineStr">
        <is>
          <t>F</t>
        </is>
      </c>
      <c r="K8" s="20" t="inlineStr">
        <is>
          <t>P</t>
        </is>
      </c>
      <c r="L8" s="20" t="inlineStr">
        <is>
          <t>P</t>
        </is>
      </c>
      <c r="M8" s="20" t="inlineStr">
        <is>
          <t>sys</t>
        </is>
      </c>
      <c r="N8" s="20" t="inlineStr">
        <is>
          <t>N/A</t>
        </is>
      </c>
      <c r="O8" s="52" t="inlineStr">
        <is>
          <t>MOD</t>
        </is>
      </c>
      <c r="P8" s="30" t="inlineStr">
        <is>
          <t>Correctly dormant-by-design (trigger ~T-6, 2028). A5: 'DORMANT by design' is free text — controlled term is WAITING-DATE. Residual of OI-36 lands here (overlap noted at CC-10).</t>
        </is>
      </c>
      <c r="Q8" s="30" t="inlineStr">
        <is>
          <t>OIR L417-421; EX-10; 74 marked sections worklist (OI-37)</t>
        </is>
      </c>
    </row>
    <row r="9">
      <c r="A9" s="20" t="n">
        <v>28</v>
      </c>
      <c r="B9" s="20" t="inlineStr">
        <is>
          <t>OI-36</t>
        </is>
      </c>
      <c r="C9" s="20" t="inlineStr">
        <is>
          <t>§06 Parts &amp; Serviceability retrofit 001-006</t>
        </is>
      </c>
      <c r="D9" s="20" t="inlineStr">
        <is>
          <t>T5 build</t>
        </is>
      </c>
      <c r="E9" s="20" t="inlineStr">
        <is>
          <t>S5</t>
        </is>
      </c>
      <c r="F9" s="20" t="inlineStr">
        <is>
          <t>P</t>
        </is>
      </c>
      <c r="G9" s="20" t="inlineStr">
        <is>
          <t>F</t>
        </is>
      </c>
      <c r="H9" s="20" t="inlineStr">
        <is>
          <t>P</t>
        </is>
      </c>
      <c r="I9" s="20" t="inlineStr">
        <is>
          <t>sys</t>
        </is>
      </c>
      <c r="J9" s="20" t="inlineStr">
        <is>
          <t>F</t>
        </is>
      </c>
      <c r="K9" s="20" t="inlineStr">
        <is>
          <t>P</t>
        </is>
      </c>
      <c r="L9" s="20" t="inlineStr">
        <is>
          <t>P</t>
        </is>
      </c>
      <c r="M9" s="20" t="inlineStr">
        <is>
          <t>sys</t>
        </is>
      </c>
      <c r="N9" s="20" t="inlineStr">
        <is>
          <t>N/A</t>
        </is>
      </c>
      <c r="O9" s="52" t="inlineStr">
        <is>
          <t>MOD</t>
        </is>
      </c>
      <c r="P9" s="30" t="inlineStr">
        <is>
          <t>Built 22 Jul; 'SUBSTANTIALLY CLOSED' is free text (should be DONE-PENDING). A2: residual (perishable content) overlaps OI-14/EX-10 — same work double-represented. Candidate to CLOSE with residual pointer to OI-14. Original finding retained unaltered (correct).</t>
        </is>
      </c>
      <c r="Q9" s="30" t="inlineStr">
        <is>
          <t>OIR L422-464; built 22 Jul; residual→EX-10/OI-14</t>
        </is>
      </c>
    </row>
    <row r="10">
      <c r="A10" s="20" t="n">
        <v>29</v>
      </c>
      <c r="B10" s="20" t="inlineStr">
        <is>
          <t>OI-65</t>
        </is>
      </c>
      <c r="C10" s="20" t="inlineStr">
        <is>
          <t>Calculator advisories TA-007..TA-010</t>
        </is>
      </c>
      <c r="D10" s="20" t="inlineStr">
        <is>
          <t>T5 build</t>
        </is>
      </c>
      <c r="E10" s="20" t="inlineStr">
        <is>
          <t>S5</t>
        </is>
      </c>
      <c r="F10" s="20" t="inlineStr">
        <is>
          <t>P</t>
        </is>
      </c>
      <c r="G10" s="20" t="inlineStr">
        <is>
          <t>P</t>
        </is>
      </c>
      <c r="H10" s="20" t="inlineStr">
        <is>
          <t>P</t>
        </is>
      </c>
      <c r="I10" s="20" t="inlineStr">
        <is>
          <t>sys</t>
        </is>
      </c>
      <c r="J10" s="20" t="inlineStr">
        <is>
          <t>P</t>
        </is>
      </c>
      <c r="K10" s="20" t="inlineStr">
        <is>
          <t>P</t>
        </is>
      </c>
      <c r="L10" s="20" t="inlineStr">
        <is>
          <t>P</t>
        </is>
      </c>
      <c r="M10" s="20" t="inlineStr">
        <is>
          <t>sys</t>
        </is>
      </c>
      <c r="N10" s="20" t="inlineStr">
        <is>
          <t>N/A</t>
        </is>
      </c>
      <c r="O10" s="54" t="inlineStr">
        <is>
          <t>HK</t>
        </is>
      </c>
      <c r="P10" s="30" t="inlineStr">
        <is>
          <t>Housekeeping: all four verdicted 'Sound — advisory', optional clarity/consistency edits, nothing wrong. A7 GOOD: cites a place (working-papers TA_Register). TA-007 correctly gated on RA-1.</t>
        </is>
      </c>
      <c r="Q10" s="30" t="inlineStr">
        <is>
          <t>OIR L467-488; WP TA_Register (TA-007..010); TA-007→RA-1</t>
        </is>
      </c>
    </row>
    <row r="11">
      <c r="A11" s="20" t="n">
        <v>30</v>
      </c>
      <c r="B11" s="20" t="inlineStr">
        <is>
          <t>OI-57</t>
        </is>
      </c>
      <c r="C11" s="20" t="inlineStr">
        <is>
          <t>Pages / PWA layer — stale or 404 content</t>
        </is>
      </c>
      <c r="D11" s="20" t="inlineStr">
        <is>
          <t>T6 external</t>
        </is>
      </c>
      <c r="E11" s="20" t="inlineStr">
        <is>
          <t>S-recovered</t>
        </is>
      </c>
      <c r="F11" s="20" t="inlineStr">
        <is>
          <t>P</t>
        </is>
      </c>
      <c r="G11" s="20" t="inlineStr">
        <is>
          <t>P</t>
        </is>
      </c>
      <c r="H11" s="20" t="inlineStr">
        <is>
          <t>P</t>
        </is>
      </c>
      <c r="I11" s="20" t="inlineStr">
        <is>
          <t>sys</t>
        </is>
      </c>
      <c r="J11" s="20" t="inlineStr">
        <is>
          <t>P</t>
        </is>
      </c>
      <c r="K11" s="20" t="inlineStr">
        <is>
          <t>P</t>
        </is>
      </c>
      <c r="L11" s="20" t="inlineStr">
        <is>
          <t>F</t>
        </is>
      </c>
      <c r="M11" s="20" t="inlineStr">
        <is>
          <t>sys</t>
        </is>
      </c>
      <c r="N11" s="20" t="inlineStr">
        <is>
          <t>N/A</t>
        </is>
      </c>
      <c r="O11" s="52" t="inlineStr">
        <is>
          <t>MOD</t>
        </is>
      </c>
      <c r="P11" s="30" t="inlineStr">
        <is>
          <t>Real site-availability question, nearly lost (reserved number consumed; recovered by the archiving sweep). Owner action = one test in a fresh browser with SW unregistered. A7 weak: source is a session, not a place.</t>
        </is>
      </c>
      <c r="Q11" s="30" t="inlineStr">
        <is>
          <t>OIR L489-511; nineteenth session; PI triage doctrine</t>
        </is>
      </c>
    </row>
    <row r="12">
      <c r="A12" s="20" t="n">
        <v>31</v>
      </c>
      <c r="B12" s="20" t="inlineStr">
        <is>
          <t>OI-46</t>
        </is>
      </c>
      <c r="C12" s="20" t="inlineStr">
        <is>
          <t>Confirm ARB jump-pack field recharge</t>
        </is>
      </c>
      <c r="D12" s="20" t="inlineStr">
        <is>
          <t>T3 measurement</t>
        </is>
      </c>
      <c r="E12" s="20" t="inlineStr">
        <is>
          <t>S-derived</t>
        </is>
      </c>
      <c r="F12" s="20" t="inlineStr">
        <is>
          <t>P</t>
        </is>
      </c>
      <c r="G12" s="20" t="inlineStr">
        <is>
          <t>P</t>
        </is>
      </c>
      <c r="H12" s="20" t="inlineStr">
        <is>
          <t>P</t>
        </is>
      </c>
      <c r="I12" s="20" t="inlineStr">
        <is>
          <t>sys</t>
        </is>
      </c>
      <c r="J12" s="20" t="inlineStr">
        <is>
          <t>P</t>
        </is>
      </c>
      <c r="K12" s="20" t="inlineStr">
        <is>
          <t>P</t>
        </is>
      </c>
      <c r="L12" s="20" t="inlineStr">
        <is>
          <t>P</t>
        </is>
      </c>
      <c r="M12" s="20" t="inlineStr">
        <is>
          <t>sys</t>
        </is>
      </c>
      <c r="N12" s="20" t="inlineStr">
        <is>
          <t>N/A</t>
        </is>
      </c>
      <c r="O12" s="53" t="inlineStr">
        <is>
          <t>SIG</t>
        </is>
      </c>
      <c r="P12" s="30" t="inlineStr">
        <is>
          <t>SIGNIFICANT: crank-survival critical path. With no spare alternator (RA-4), the jump pack is the ONLY crank route after alternator failure; R32 confirms alternator is the crank battery's sole charge source. If the pack can't be field-recharged, the ruling leaves a hole. Cheap to answer (read manual + one test).</t>
        </is>
      </c>
      <c r="Q12" s="30" t="inlineStr">
        <is>
          <t>OIR L512-534; from RA-4 ruling; R32 §6-8; R41 C1</t>
        </is>
      </c>
    </row>
    <row r="13">
      <c r="A13" s="20" t="n">
        <v>32</v>
      </c>
      <c r="B13" s="20" t="inlineStr">
        <is>
          <t>OI-18</t>
        </is>
      </c>
      <c r="C13" s="20" t="inlineStr">
        <is>
          <t>Satellite voice phone purchase (IsatPhone 2)</t>
        </is>
      </c>
      <c r="D13" s="20" t="inlineStr">
        <is>
          <t>T2 purchase</t>
        </is>
      </c>
      <c r="E13" s="20" t="inlineStr">
        <is>
          <t>S-owner</t>
        </is>
      </c>
      <c r="F13" s="20" t="inlineStr">
        <is>
          <t>P</t>
        </is>
      </c>
      <c r="G13" s="20" t="inlineStr">
        <is>
          <t>P</t>
        </is>
      </c>
      <c r="H13" s="20" t="inlineStr">
        <is>
          <t>P</t>
        </is>
      </c>
      <c r="I13" s="20" t="inlineStr">
        <is>
          <t>sys</t>
        </is>
      </c>
      <c r="J13" s="20" t="inlineStr">
        <is>
          <t>P</t>
        </is>
      </c>
      <c r="K13" s="20" t="inlineStr">
        <is>
          <t>P</t>
        </is>
      </c>
      <c r="L13" s="20" t="inlineStr">
        <is>
          <t>P</t>
        </is>
      </c>
      <c r="M13" s="20" t="inlineStr">
        <is>
          <t>sys</t>
        </is>
      </c>
      <c r="N13" s="20" t="inlineStr">
        <is>
          <t>N/A</t>
        </is>
      </c>
      <c r="O13" s="52" t="inlineStr">
        <is>
          <t>MOD</t>
        </is>
      </c>
      <c r="P13" s="30" t="inlineStr">
        <is>
          <t>Clean purchase decision. Gates OI-3/RA-10 satphone verification and OI-47 dialable-line closure.</t>
        </is>
      </c>
      <c r="Q13" s="30" t="inlineStr">
        <is>
          <t>OIR L536-542; R16 §6; R38 §1; R29 eval 11 Jul</t>
        </is>
      </c>
    </row>
    <row r="14">
      <c r="A14" s="20" t="n">
        <v>33</v>
      </c>
      <c r="B14" s="20" t="inlineStr">
        <is>
          <t>OI-19</t>
        </is>
      </c>
      <c r="C14" s="20" t="inlineStr">
        <is>
          <t>Second-spare / casing strategy, East Africa</t>
        </is>
      </c>
      <c r="D14" s="20" t="inlineStr">
        <is>
          <t>T4 decision</t>
        </is>
      </c>
      <c r="E14" s="20" t="inlineStr">
        <is>
          <t>S-owner</t>
        </is>
      </c>
      <c r="F14" s="20" t="inlineStr">
        <is>
          <t>P</t>
        </is>
      </c>
      <c r="G14" s="20" t="inlineStr">
        <is>
          <t>P</t>
        </is>
      </c>
      <c r="H14" s="20" t="inlineStr">
        <is>
          <t>P</t>
        </is>
      </c>
      <c r="I14" s="20" t="inlineStr">
        <is>
          <t>sys</t>
        </is>
      </c>
      <c r="J14" s="20" t="inlineStr">
        <is>
          <t>P</t>
        </is>
      </c>
      <c r="K14" s="20" t="inlineStr">
        <is>
          <t>P</t>
        </is>
      </c>
      <c r="L14" s="20" t="inlineStr">
        <is>
          <t>P</t>
        </is>
      </c>
      <c r="M14" s="20" t="inlineStr">
        <is>
          <t>sys</t>
        </is>
      </c>
      <c r="N14" s="20" t="inlineStr">
        <is>
          <t>N/A</t>
        </is>
      </c>
      <c r="O14" s="52" t="inlineStr">
        <is>
          <t>MOD</t>
        </is>
      </c>
      <c r="P14" s="30" t="inlineStr">
        <is>
          <t>Real decision (one spare thin north of Zambezi). Triggered with RA-9 tyre decision ~2027. Coupled to OI-28 (KO3 availability).</t>
        </is>
      </c>
      <c r="Q14" s="30" t="inlineStr">
        <is>
          <t>OIR L543-549; RA-9; OI-28</t>
        </is>
      </c>
    </row>
    <row r="15">
      <c r="A15" s="20" t="n">
        <v>34</v>
      </c>
      <c r="B15" s="20" t="inlineStr">
        <is>
          <t>OI-17</t>
        </is>
      </c>
      <c r="C15" s="20" t="inlineStr">
        <is>
          <t>Clamp-type bead breaker purchase</t>
        </is>
      </c>
      <c r="D15" s="20" t="inlineStr">
        <is>
          <t>T4/T2</t>
        </is>
      </c>
      <c r="E15" s="20" t="inlineStr">
        <is>
          <t>S-owner</t>
        </is>
      </c>
      <c r="F15" s="20" t="inlineStr">
        <is>
          <t>P</t>
        </is>
      </c>
      <c r="G15" s="20" t="inlineStr">
        <is>
          <t>P</t>
        </is>
      </c>
      <c r="H15" s="20" t="inlineStr">
        <is>
          <t>P</t>
        </is>
      </c>
      <c r="I15" s="20" t="inlineStr">
        <is>
          <t>sys</t>
        </is>
      </c>
      <c r="J15" s="20" t="inlineStr">
        <is>
          <t>P</t>
        </is>
      </c>
      <c r="K15" s="20" t="inlineStr">
        <is>
          <t>P</t>
        </is>
      </c>
      <c r="L15" s="20" t="inlineStr">
        <is>
          <t>P</t>
        </is>
      </c>
      <c r="M15" s="20" t="inlineStr">
        <is>
          <t>sys</t>
        </is>
      </c>
      <c r="N15" s="20" t="inlineStr">
        <is>
          <t>N/A</t>
        </is>
      </c>
      <c r="O15" s="52" t="inlineStr">
        <is>
          <t>MOD</t>
        </is>
      </c>
      <c r="P15" s="30" t="inlineStr">
        <is>
          <t>Low-consequence, well-scoped purchase decision before 265/75 fitment ~2027.</t>
        </is>
      </c>
      <c r="Q15" s="30" t="inlineStr">
        <is>
          <t>OIR L550-554; R40 build 10 Jul</t>
        </is>
      </c>
    </row>
    <row r="16">
      <c r="A16" s="20" t="n">
        <v>35</v>
      </c>
      <c r="B16" s="20" t="inlineStr">
        <is>
          <t>OI-29</t>
        </is>
      </c>
      <c r="C16" s="20" t="inlineStr">
        <is>
          <t>Adopt standing anti-staleness controls</t>
        </is>
      </c>
      <c r="D16" s="20" t="inlineStr">
        <is>
          <t>T4 decision</t>
        </is>
      </c>
      <c r="E16" s="20" t="inlineStr">
        <is>
          <t>S5</t>
        </is>
      </c>
      <c r="F16" s="20" t="inlineStr">
        <is>
          <t>P</t>
        </is>
      </c>
      <c r="G16" s="20" t="inlineStr">
        <is>
          <t>P</t>
        </is>
      </c>
      <c r="H16" s="20" t="inlineStr">
        <is>
          <t>P</t>
        </is>
      </c>
      <c r="I16" s="20" t="inlineStr">
        <is>
          <t>sys</t>
        </is>
      </c>
      <c r="J16" s="20" t="inlineStr">
        <is>
          <t>P</t>
        </is>
      </c>
      <c r="K16" s="20" t="inlineStr">
        <is>
          <t>P</t>
        </is>
      </c>
      <c r="L16" s="20" t="inlineStr">
        <is>
          <t>P</t>
        </is>
      </c>
      <c r="M16" s="20" t="inlineStr">
        <is>
          <t>sys</t>
        </is>
      </c>
      <c r="N16" s="20" t="inlineStr">
        <is>
          <t>N/A</t>
        </is>
      </c>
      <c r="O16" s="52" t="inlineStr">
        <is>
          <t>MOD</t>
        </is>
      </c>
      <c r="P16" s="30" t="inlineStr">
        <is>
          <t>Real decision (supersession dictionary + session-close sweep gate). A8: trigger 'next session' is STALE — opened 19 Jul, still open 30 Jul after many sessions. Partial overlap with what the Audit of Truth now builds (note at CC-10).</t>
        </is>
      </c>
      <c r="Q16" s="30" t="inlineStr">
        <is>
          <t>OIR L555-565; full-corpus sweep 19 Jul; overlaps AoT</t>
        </is>
      </c>
    </row>
    <row r="17">
      <c r="A17" s="20" t="n">
        <v>36</v>
      </c>
      <c r="B17" s="20" t="inlineStr">
        <is>
          <t>OI-30</t>
        </is>
      </c>
      <c r="C17" s="20" t="inlineStr">
        <is>
          <t>Affidavit validity window vs 2-yr trip</t>
        </is>
      </c>
      <c r="D17" s="20" t="inlineStr">
        <is>
          <t>T4 decision</t>
        </is>
      </c>
      <c r="E17" s="20" t="inlineStr">
        <is>
          <t>S-owner</t>
        </is>
      </c>
      <c r="F17" s="20" t="inlineStr">
        <is>
          <t>P</t>
        </is>
      </c>
      <c r="G17" s="20" t="inlineStr">
        <is>
          <t>P</t>
        </is>
      </c>
      <c r="H17" s="20" t="inlineStr">
        <is>
          <t>P</t>
        </is>
      </c>
      <c r="I17" s="20" t="inlineStr">
        <is>
          <t>sys</t>
        </is>
      </c>
      <c r="J17" s="20" t="inlineStr">
        <is>
          <t>P</t>
        </is>
      </c>
      <c r="K17" s="20" t="inlineStr">
        <is>
          <t>P</t>
        </is>
      </c>
      <c r="L17" s="20" t="inlineStr">
        <is>
          <t>P</t>
        </is>
      </c>
      <c r="M17" s="20" t="inlineStr">
        <is>
          <t>sys</t>
        </is>
      </c>
      <c r="N17" s="20" t="inlineStr">
        <is>
          <t>N/A</t>
        </is>
      </c>
      <c r="O17" s="52" t="inlineStr">
        <is>
          <t>MOD</t>
        </is>
      </c>
      <c r="P17" s="30" t="inlineStr">
        <is>
          <t>Real EX-9 decision; options laid out (generous period / pre-signed set / certified-copy redundancy). Couples to OI-24/OI-25.</t>
        </is>
      </c>
      <c r="Q17" s="30" t="inlineStr">
        <is>
          <t>OIR L566-579; R39 §3 + supplement; EX-9</t>
        </is>
      </c>
    </row>
    <row r="18">
      <c r="A18" s="20" t="n">
        <v>37</v>
      </c>
      <c r="B18" s="20" t="inlineStr">
        <is>
          <t>OI-39</t>
        </is>
      </c>
      <c r="C18" s="20" t="inlineStr">
        <is>
          <t>Changelog structure divergence (profile family)</t>
        </is>
      </c>
      <c r="D18" s="20" t="inlineStr">
        <is>
          <t>T4 decision</t>
        </is>
      </c>
      <c r="E18" s="20" t="inlineStr">
        <is>
          <t>S5</t>
        </is>
      </c>
      <c r="F18" s="20" t="inlineStr">
        <is>
          <t>P</t>
        </is>
      </c>
      <c r="G18" s="20" t="inlineStr">
        <is>
          <t>P</t>
        </is>
      </c>
      <c r="H18" s="20" t="inlineStr">
        <is>
          <t>P</t>
        </is>
      </c>
      <c r="I18" s="20" t="inlineStr">
        <is>
          <t>sys</t>
        </is>
      </c>
      <c r="J18" s="20" t="inlineStr">
        <is>
          <t>P</t>
        </is>
      </c>
      <c r="K18" s="20" t="inlineStr">
        <is>
          <t>P</t>
        </is>
      </c>
      <c r="L18" s="20" t="inlineStr">
        <is>
          <t>P</t>
        </is>
      </c>
      <c r="M18" s="20" t="inlineStr">
        <is>
          <t>sys</t>
        </is>
      </c>
      <c r="N18" s="20" t="inlineStr">
        <is>
          <t>N/A</t>
        </is>
      </c>
      <c r="O18" s="52" t="inlineStr">
        <is>
          <t>MOD</t>
        </is>
      </c>
      <c r="P18" s="30" t="inlineStr">
        <is>
          <t>One decision with three OPTIONS (a/b/c), recommendation (a). CORRECTS charter F-C, which lists OI-39 as 'three jobs' — options are not jobs; A6 PASSES. Cosmetic (both changelog forms valid, both on ISO dates).</t>
        </is>
      </c>
      <c r="Q18" s="30" t="inlineStr">
        <is>
          <t>OIR L580-604; corrects charter §14 F-C; OI-38 probe note</t>
        </is>
      </c>
    </row>
    <row r="19">
      <c r="A19" s="20" t="n">
        <v>38</v>
      </c>
      <c r="B19" s="20" t="inlineStr">
        <is>
          <t>OI-20</t>
        </is>
      </c>
      <c r="C19" s="20" t="inlineStr">
        <is>
          <t>Monthly odometer reading</t>
        </is>
      </c>
      <c r="D19" s="20" t="inlineStr">
        <is>
          <t>T7 standing</t>
        </is>
      </c>
      <c r="E19" s="20" t="inlineStr">
        <is>
          <t>S-std</t>
        </is>
      </c>
      <c r="F19" s="20" t="inlineStr">
        <is>
          <t>P</t>
        </is>
      </c>
      <c r="G19" s="20" t="inlineStr">
        <is>
          <t>P</t>
        </is>
      </c>
      <c r="H19" s="20" t="inlineStr">
        <is>
          <t>P</t>
        </is>
      </c>
      <c r="I19" s="20" t="inlineStr">
        <is>
          <t>sys</t>
        </is>
      </c>
      <c r="J19" s="20" t="inlineStr">
        <is>
          <t>F</t>
        </is>
      </c>
      <c r="K19" s="20" t="inlineStr">
        <is>
          <t>P</t>
        </is>
      </c>
      <c r="L19" s="20" t="inlineStr">
        <is>
          <t>P</t>
        </is>
      </c>
      <c r="M19" s="20" t="inlineStr">
        <is>
          <t>sys</t>
        </is>
      </c>
      <c r="N19" s="20" t="inlineStr">
        <is>
          <t>N/A</t>
        </is>
      </c>
      <c r="O19" s="54" t="inlineStr">
        <is>
          <t>HK</t>
        </is>
      </c>
      <c r="P19" s="30" t="inlineStr">
        <is>
          <t>Correctly formed standing item: cadence (monthly) + last-performed (311,000 km, Jul 2026) present, so passes §9 T7. A5: labelled 'OPEN' should be STANDING. Reading is current (still July at as-at date).</t>
        </is>
      </c>
      <c r="Q19" s="30" t="inlineStr">
        <is>
          <t>OIR L605-611; PI standing rule; Facts §2</t>
        </is>
      </c>
    </row>
    <row r="20">
      <c r="A20" s="20" t="n">
        <v>39</v>
      </c>
      <c r="B20" s="20" t="inlineStr">
        <is>
          <t>OI-26</t>
        </is>
      </c>
      <c r="C20" s="20" t="inlineStr">
        <is>
          <t>Experimental route draft (pre-EX-9)</t>
        </is>
      </c>
      <c r="D20" s="20" t="inlineStr">
        <is>
          <t>T7 standing</t>
        </is>
      </c>
      <c r="E20" s="20" t="inlineStr">
        <is>
          <t>S-owner</t>
        </is>
      </c>
      <c r="F20" s="20" t="inlineStr">
        <is>
          <t>P</t>
        </is>
      </c>
      <c r="G20" s="20" t="inlineStr">
        <is>
          <t>P</t>
        </is>
      </c>
      <c r="H20" s="20" t="inlineStr">
        <is>
          <t>P</t>
        </is>
      </c>
      <c r="I20" s="20" t="inlineStr">
        <is>
          <t>sys</t>
        </is>
      </c>
      <c r="J20" s="20" t="inlineStr">
        <is>
          <t>F</t>
        </is>
      </c>
      <c r="K20" s="20" t="inlineStr">
        <is>
          <t>P</t>
        </is>
      </c>
      <c r="L20" s="20" t="inlineStr">
        <is>
          <t>P</t>
        </is>
      </c>
      <c r="M20" s="20" t="inlineStr">
        <is>
          <t>sys</t>
        </is>
      </c>
      <c r="N20" s="20" t="inlineStr">
        <is>
          <t>N/A</t>
        </is>
      </c>
      <c r="O20" s="52" t="inlineStr">
        <is>
          <t>MOD</t>
        </is>
      </c>
      <c r="P20" s="30" t="inlineStr">
        <is>
          <t>Correctly a live-until-trigger item. A5: 'OPEN — until EX-9' is really STANDING/WAITING-DATE. Well-documented method; nothing commits pre-EX-9.</t>
        </is>
      </c>
      <c r="Q20" s="30" t="inlineStr">
        <is>
          <t>OIR L612-626; adopted 13 Jul; PI working conventions</t>
        </is>
      </c>
    </row>
    <row r="21">
      <c r="A21" s="20" t="n">
        <v>40</v>
      </c>
      <c r="B21" s="20" t="inlineStr">
        <is>
          <t>OI-28</t>
        </is>
      </c>
      <c r="C21" s="20" t="inlineStr">
        <is>
          <t>KO2-&gt;KO3 tyre availability re-verify</t>
        </is>
      </c>
      <c r="D21" s="20" t="inlineStr">
        <is>
          <t>T3 measurement</t>
        </is>
      </c>
      <c r="E21" s="20" t="inlineStr">
        <is>
          <t>S-owner</t>
        </is>
      </c>
      <c r="F21" s="20" t="inlineStr">
        <is>
          <t>P</t>
        </is>
      </c>
      <c r="G21" s="20" t="inlineStr">
        <is>
          <t>P</t>
        </is>
      </c>
      <c r="H21" s="20" t="inlineStr">
        <is>
          <t>P</t>
        </is>
      </c>
      <c r="I21" s="20" t="inlineStr">
        <is>
          <t>sys</t>
        </is>
      </c>
      <c r="J21" s="20" t="inlineStr">
        <is>
          <t>P</t>
        </is>
      </c>
      <c r="K21" s="20" t="inlineStr">
        <is>
          <t>P</t>
        </is>
      </c>
      <c r="L21" s="20" t="inlineStr">
        <is>
          <t>P</t>
        </is>
      </c>
      <c r="M21" s="20" t="inlineStr">
        <is>
          <t>sys</t>
        </is>
      </c>
      <c r="N21" s="20" t="inlineStr">
        <is>
          <t>N/A</t>
        </is>
      </c>
      <c r="O21" s="52" t="inlineStr">
        <is>
          <t>MOD</t>
        </is>
      </c>
      <c r="P21" s="30" t="inlineStr">
        <is>
          <t>Real verification (BFG phasing KO2 out). KO3 spec detail (LT LR-E 123/120S; LR-D shelf stock) traces to R19 (Jul 2026). Trigger EX-10 (~2028), also bites at ~2027 RA-9 purchase.</t>
        </is>
      </c>
      <c r="Q21" s="30" t="inlineStr">
        <is>
          <t>OIR L627-642; R19 (19 Jul); RA-9/OI-22; OI-19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4" customWidth="1" style="21" min="1" max="1"/>
    <col width="8" customWidth="1" style="21" min="2" max="2"/>
    <col width="8" customWidth="1" style="21" min="3" max="3"/>
    <col width="12" customWidth="1" style="21" min="4" max="4"/>
    <col width="40" customWidth="1" style="21" min="5" max="5"/>
    <col width="15" customWidth="1" style="21" min="6" max="6"/>
    <col width="20" customWidth="1" style="21" min="7" max="7"/>
    <col width="55" customWidth="1" style="21" min="8" max="8"/>
  </cols>
  <sheetData>
    <row r="1">
      <c r="A1" s="51" t="inlineStr">
        <is>
          <t>#</t>
        </is>
      </c>
      <c r="B1" s="51" t="inlineStr">
        <is>
          <t>OI</t>
        </is>
      </c>
      <c r="C1" s="51" t="inlineStr">
        <is>
          <t>Date</t>
        </is>
      </c>
      <c r="D1" s="51" t="inlineStr">
        <is>
          <t>Item type</t>
        </is>
      </c>
      <c r="E1" s="51" t="inlineStr">
        <is>
          <t>Closure evidence cited</t>
        </is>
      </c>
      <c r="F1" s="51" t="inlineStr">
        <is>
          <t>Tier-A checkable?</t>
        </is>
      </c>
      <c r="G1" s="51" t="inlineStr">
        <is>
          <t>Tier-B strict §8?</t>
        </is>
      </c>
      <c r="H1" s="51" t="inlineStr">
        <is>
          <t>Note</t>
        </is>
      </c>
    </row>
    <row r="2">
      <c r="A2" s="20" t="n">
        <v>1</v>
      </c>
      <c r="B2" s="20" t="inlineStr">
        <is>
          <t>OI-67</t>
        </is>
      </c>
      <c r="C2" s="20" t="inlineStr">
        <is>
          <t>29 Jul</t>
        </is>
      </c>
      <c r="D2" s="20" t="inlineStr">
        <is>
          <t>T5 build</t>
        </is>
      </c>
      <c r="E2" s="30" t="inlineStr">
        <is>
          <t>src fields now in file at HEAD; validation prose; removed-item evidence in comment block</t>
        </is>
      </c>
      <c r="F2" s="54" t="inlineStr">
        <is>
          <t>YES</t>
        </is>
      </c>
      <c r="G2" s="55" t="inlineStr">
        <is>
          <t>BORDER</t>
        </is>
      </c>
      <c r="H2" s="30" t="inlineStr">
        <is>
          <t>Validation is prose, no commit named; but file state at HEAD is checkable.</t>
        </is>
      </c>
    </row>
    <row r="3">
      <c r="A3" s="20" t="n">
        <v>2</v>
      </c>
      <c r="B3" s="20" t="inlineStr">
        <is>
          <t>OI-58</t>
        </is>
      </c>
      <c r="C3" s="20" t="inlineStr">
        <is>
          <t>29 Jul</t>
        </is>
      </c>
      <c r="D3" s="20" t="inlineStr">
        <is>
          <t>T5 build</t>
        </is>
      </c>
      <c r="E3" s="30" t="inlineStr">
        <is>
          <t>file at HEAD; sw.js precache+CACHE bump; TOC 9/9; validation prose</t>
        </is>
      </c>
      <c r="F3" s="54" t="inlineStr">
        <is>
          <t>YES</t>
        </is>
      </c>
      <c r="G3" s="55" t="inlineStr">
        <is>
          <t>BORDER</t>
        </is>
      </c>
      <c r="H3" s="30" t="inlineStr">
        <is>
          <t>sw.js entry checkable; no commit SHA for validation.</t>
        </is>
      </c>
    </row>
    <row r="4">
      <c r="A4" s="20" t="n">
        <v>3</v>
      </c>
      <c r="B4" s="20" t="inlineStr">
        <is>
          <t>OI-56</t>
        </is>
      </c>
      <c r="C4" s="20" t="inlineStr">
        <is>
          <t>29 Jul</t>
        </is>
      </c>
      <c r="D4" s="20" t="inlineStr">
        <is>
          <t>T5/govern</t>
        </is>
      </c>
      <c r="E4" s="30" t="inlineStr">
        <is>
          <t>roll-forward char accounting; PRIOR 6-&gt;2; history 28-&gt;32 blocks</t>
        </is>
      </c>
      <c r="F4" s="54" t="inlineStr">
        <is>
          <t>YES</t>
        </is>
      </c>
      <c r="G4" s="54" t="inlineStr">
        <is>
          <t>PASS</t>
        </is>
      </c>
      <c r="H4" s="30" t="inlineStr">
        <is>
          <t>Char/block reconciliation is re-runnable E2.</t>
        </is>
      </c>
    </row>
    <row r="5">
      <c r="A5" s="20" t="n">
        <v>4</v>
      </c>
      <c r="B5" s="20" t="inlineStr">
        <is>
          <t>OI-55</t>
        </is>
      </c>
      <c r="C5" s="20" t="inlineStr">
        <is>
          <t>29 Jul</t>
        </is>
      </c>
      <c r="D5" s="20" t="inlineStr">
        <is>
          <t>T5 build</t>
        </is>
      </c>
      <c r="E5" s="30" t="inlineStr">
        <is>
          <t>files at HEAD; corpus sweep (zero .std-header lack date); validation</t>
        </is>
      </c>
      <c r="F5" s="54" t="inlineStr">
        <is>
          <t>YES</t>
        </is>
      </c>
      <c r="G5" s="55" t="inlineStr">
        <is>
          <t>BORDER</t>
        </is>
      </c>
      <c r="H5" s="30" t="inlineStr">
        <is>
          <t>Corpus sweep checkable; validation prose otherwise.</t>
        </is>
      </c>
    </row>
    <row r="6">
      <c r="A6" s="20" t="n">
        <v>5</v>
      </c>
      <c r="B6" s="20" t="inlineStr">
        <is>
          <t>OI-54</t>
        </is>
      </c>
      <c r="C6" s="20" t="inlineStr">
        <is>
          <t>29 Jul</t>
        </is>
      </c>
      <c r="D6" s="20" t="inlineStr">
        <is>
          <t>T5 build</t>
        </is>
      </c>
      <c r="E6" s="30" t="inlineStr">
        <is>
          <t>closing corpus assert (no file wraps; no file lacks scroller)</t>
        </is>
      </c>
      <c r="F6" s="54" t="inlineStr">
        <is>
          <t>YES</t>
        </is>
      </c>
      <c r="G6" s="54" t="inlineStr">
        <is>
          <t>PASS</t>
        </is>
      </c>
      <c r="H6" s="30" t="inlineStr">
        <is>
          <t>Corpus assert re-runnable E2.</t>
        </is>
      </c>
    </row>
    <row r="7">
      <c r="A7" s="20" t="n">
        <v>6</v>
      </c>
      <c r="B7" s="20" t="inlineStr">
        <is>
          <t>OI-53</t>
        </is>
      </c>
      <c r="C7" s="20" t="inlineStr">
        <is>
          <t>28 Jul</t>
        </is>
      </c>
      <c r="D7" s="20" t="inlineStr">
        <is>
          <t>T4/govern</t>
        </is>
      </c>
      <c r="E7" s="30" t="inlineStr">
        <is>
          <t>HTTP 404 re-verified at HEAD on 5 files; tight/loose probe both run</t>
        </is>
      </c>
      <c r="F7" s="54" t="inlineStr">
        <is>
          <t>YES</t>
        </is>
      </c>
      <c r="G7" s="54" t="inlineStr">
        <is>
          <t>PASS</t>
        </is>
      </c>
      <c r="H7" s="30" t="inlineStr">
        <is>
          <t>HTTP-status re-check E2.</t>
        </is>
      </c>
    </row>
    <row r="8">
      <c r="A8" s="20" t="n">
        <v>7</v>
      </c>
      <c r="B8" s="20" t="inlineStr">
        <is>
          <t>OI-52</t>
        </is>
      </c>
      <c r="C8" s="20" t="inlineStr">
        <is>
          <t>28 Jul</t>
        </is>
      </c>
      <c r="D8" s="20" t="inlineStr">
        <is>
          <t>T5 build</t>
        </is>
      </c>
      <c r="E8" s="30" t="inlineStr">
        <is>
          <t>itinerary-&gt;relative days; corpus sweep (RA-1 variants); content at HEAD</t>
        </is>
      </c>
      <c r="F8" s="54" t="inlineStr">
        <is>
          <t>YES</t>
        </is>
      </c>
      <c r="G8" s="55" t="inlineStr">
        <is>
          <t>BORDER</t>
        </is>
      </c>
      <c r="H8" s="30" t="inlineStr">
        <is>
          <t>Content checkable at HEAD; no commit/testzip cited.</t>
        </is>
      </c>
    </row>
    <row r="9">
      <c r="A9" s="20" t="n">
        <v>8</v>
      </c>
      <c r="B9" s="20" t="inlineStr">
        <is>
          <t>OI-51</t>
        </is>
      </c>
      <c r="C9" s="20" t="inlineStr">
        <is>
          <t>28 Jul</t>
        </is>
      </c>
      <c r="D9" s="20" t="inlineStr">
        <is>
          <t>T5 build</t>
        </is>
      </c>
      <c r="E9" s="30" t="inlineStr">
        <is>
          <t>19 files; zero-assert sweep to zero on 10 strings; depth walks</t>
        </is>
      </c>
      <c r="F9" s="54" t="inlineStr">
        <is>
          <t>YES</t>
        </is>
      </c>
      <c r="G9" s="54" t="inlineStr">
        <is>
          <t>PASS</t>
        </is>
      </c>
      <c r="H9" s="30" t="inlineStr">
        <is>
          <t>Zero-assert sweep is re-runnable E2.</t>
        </is>
      </c>
    </row>
    <row r="10">
      <c r="A10" s="20" t="n">
        <v>9</v>
      </c>
      <c r="B10" s="20" t="inlineStr">
        <is>
          <t>OI-42</t>
        </is>
      </c>
      <c r="C10" s="20" t="inlineStr">
        <is>
          <t>27 Jul</t>
        </is>
      </c>
      <c r="D10" s="20" t="inlineStr">
        <is>
          <t>T1 delete</t>
        </is>
      </c>
      <c r="E10" s="30" t="inlineStr">
        <is>
          <t>Verified GONE: HTTP 404 both files at HEAD (cache-busted)</t>
        </is>
      </c>
      <c r="F10" s="54" t="inlineStr">
        <is>
          <t>YES</t>
        </is>
      </c>
      <c r="G10" s="54" t="inlineStr">
        <is>
          <t>PASS</t>
        </is>
      </c>
      <c r="H10" s="30" t="inlineStr">
        <is>
          <t>Strongest form; E2 absence check.</t>
        </is>
      </c>
    </row>
    <row r="11">
      <c r="A11" s="20" t="n">
        <v>10</v>
      </c>
      <c r="B11" s="20" t="inlineStr">
        <is>
          <t>OI-32</t>
        </is>
      </c>
      <c r="C11" s="20" t="inlineStr">
        <is>
          <t>27 Jul</t>
        </is>
      </c>
      <c r="D11" s="20" t="inlineStr">
        <is>
          <t>T1 delete</t>
        </is>
      </c>
      <c r="E11" s="30" t="inlineStr">
        <is>
          <t>Verified GONE: HTTP 404 all files at HEAD (cache-busted)</t>
        </is>
      </c>
      <c r="F11" s="54" t="inlineStr">
        <is>
          <t>YES</t>
        </is>
      </c>
      <c r="G11" s="54" t="inlineStr">
        <is>
          <t>PASS</t>
        </is>
      </c>
      <c r="H11" s="30" t="inlineStr">
        <is>
          <t>E2 absence check.</t>
        </is>
      </c>
    </row>
    <row r="12">
      <c r="A12" s="20" t="n">
        <v>11</v>
      </c>
      <c r="B12" s="20" t="inlineStr">
        <is>
          <t>OI-50</t>
        </is>
      </c>
      <c r="C12" s="20" t="inlineStr">
        <is>
          <t>27 Jul</t>
        </is>
      </c>
      <c r="D12" s="20" t="inlineStr">
        <is>
          <t>T5/govern</t>
        </is>
      </c>
      <c r="E12" s="30" t="inlineStr">
        <is>
          <t>28/28 blocks verbatim; PI byte-identical bar 6 promotions</t>
        </is>
      </c>
      <c r="F12" s="54" t="inlineStr">
        <is>
          <t>YES</t>
        </is>
      </c>
      <c r="G12" s="54" t="inlineStr">
        <is>
          <t>PASS</t>
        </is>
      </c>
      <c r="H12" s="30" t="inlineStr">
        <is>
          <t>Byte/block reconciliation E2. Residual: index card left PENDING.</t>
        </is>
      </c>
    </row>
    <row r="13">
      <c r="A13" s="20" t="n">
        <v>12</v>
      </c>
      <c r="B13" s="20" t="inlineStr">
        <is>
          <t>OI-49</t>
        </is>
      </c>
      <c r="C13" s="20" t="inlineStr">
        <is>
          <t>27 Jul</t>
        </is>
      </c>
      <c r="D13" s="20" t="inlineStr">
        <is>
          <t>T4/owner-act</t>
        </is>
      </c>
      <c r="E13" s="30" t="inlineStr">
        <is>
          <t>'all three removed from project knowledge by the owner'</t>
        </is>
      </c>
      <c r="F13" s="53" t="inlineStr">
        <is>
          <t>WEAK</t>
        </is>
      </c>
      <c r="G13" s="53" t="inlineStr">
        <is>
          <t>FAIL</t>
        </is>
      </c>
      <c r="H13" s="30" t="inlineStr">
        <is>
          <t>Closing state (project-knowledge set) is NOT in the repo, so not verifiable at a commit. Best obtainable is owner's word (E4/E5). Structural limit, honestly stated — but not artifact-checkable.</t>
        </is>
      </c>
    </row>
    <row r="14">
      <c r="A14" s="20" t="n">
        <v>13</v>
      </c>
      <c r="B14" s="20" t="inlineStr">
        <is>
          <t>OI-48</t>
        </is>
      </c>
      <c r="C14" s="20" t="inlineStr">
        <is>
          <t>26 Jul</t>
        </is>
      </c>
      <c r="D14" s="20" t="inlineStr">
        <is>
          <t>T5/T4</t>
        </is>
      </c>
      <c r="E14" s="30" t="inlineStr">
        <is>
          <t>owner ruling; 3 files/23 edits at HEAD; sweep caught table total</t>
        </is>
      </c>
      <c r="F14" s="54" t="inlineStr">
        <is>
          <t>YES</t>
        </is>
      </c>
      <c r="G14" s="54" t="inlineStr">
        <is>
          <t>PASS</t>
        </is>
      </c>
      <c r="H14" s="30" t="inlineStr">
        <is>
          <t>Owner ruling (E4) + re-runnable sweep.</t>
        </is>
      </c>
    </row>
    <row r="15">
      <c r="A15" s="20" t="n">
        <v>14</v>
      </c>
      <c r="B15" s="20" t="inlineStr">
        <is>
          <t>OI-45</t>
        </is>
      </c>
      <c r="C15" s="20" t="inlineStr">
        <is>
          <t>24 Jul</t>
        </is>
      </c>
      <c r="D15" s="20" t="inlineStr">
        <is>
          <t>T4 decision</t>
        </is>
      </c>
      <c r="E15" s="30" t="inlineStr">
        <is>
          <t>dated owner ruling + propagation R32/R41/R31/R3</t>
        </is>
      </c>
      <c r="F15" s="54" t="inlineStr">
        <is>
          <t>YES</t>
        </is>
      </c>
      <c r="G15" s="54" t="inlineStr">
        <is>
          <t>PASS</t>
        </is>
      </c>
      <c r="H15" s="30" t="inlineStr">
        <is>
          <t>E4 + propagation = the T4 closure test, correctly met.</t>
        </is>
      </c>
    </row>
    <row r="16">
      <c r="A16" s="20" t="n">
        <v>15</v>
      </c>
      <c r="B16" s="20" t="inlineStr">
        <is>
          <t>OI-41</t>
        </is>
      </c>
      <c r="C16" s="20" t="inlineStr">
        <is>
          <t>24 Jul</t>
        </is>
      </c>
      <c r="D16" s="20" t="inlineStr">
        <is>
          <t>T5 build</t>
        </is>
      </c>
      <c r="E16" s="30" t="inlineStr">
        <is>
          <t>HEAD a14c426a named; char counts; presence asserts</t>
        </is>
      </c>
      <c r="F16" s="54" t="inlineStr">
        <is>
          <t>YES</t>
        </is>
      </c>
      <c r="G16" s="54" t="inlineStr">
        <is>
          <t>PASS</t>
        </is>
      </c>
      <c r="H16" s="30" t="inlineStr">
        <is>
          <t>Commit named + re-runnable asserts = strict E2.</t>
        </is>
      </c>
    </row>
    <row r="17">
      <c r="A17" s="20" t="n">
        <v>16</v>
      </c>
      <c r="B17" s="20" t="inlineStr">
        <is>
          <t>OI-44</t>
        </is>
      </c>
      <c r="C17" s="20" t="inlineStr">
        <is>
          <t>24 Jul</t>
        </is>
      </c>
      <c r="D17" s="20" t="inlineStr">
        <is>
          <t>T5 build</t>
        </is>
      </c>
      <c r="E17" s="30" t="inlineStr">
        <is>
          <t>HEAD a14c426a; '3068 gone' stale-sweep assert; validation</t>
        </is>
      </c>
      <c r="F17" s="54" t="inlineStr">
        <is>
          <t>YES</t>
        </is>
      </c>
      <c r="G17" s="54" t="inlineStr">
        <is>
          <t>PASS</t>
        </is>
      </c>
      <c r="H17" s="30" t="inlineStr">
        <is>
          <t>Commit named + stale-sweep = strict E2.</t>
        </is>
      </c>
    </row>
    <row r="18">
      <c r="A18" s="20" t="n">
        <v>17</v>
      </c>
      <c r="B18" s="20" t="inlineStr">
        <is>
          <t>OI-40</t>
        </is>
      </c>
      <c r="C18" s="20" t="inlineStr">
        <is>
          <t>24 Jul</t>
        </is>
      </c>
      <c r="D18" s="20" t="inlineStr">
        <is>
          <t>T6 external</t>
        </is>
      </c>
      <c r="E18" s="30" t="inlineStr">
        <is>
          <t>provider-published material 23 Jul; GRADE flagged NOT voice-tested</t>
        </is>
      </c>
      <c r="F18" s="53" t="inlineStr">
        <is>
          <t>WEAK</t>
        </is>
      </c>
      <c r="G18" s="55" t="inlineStr">
        <is>
          <t>BORDER</t>
        </is>
      </c>
      <c r="H18" s="30" t="inlineStr">
        <is>
          <t>T6 needs E3. Source named by CLASS (provider material) not by openable locator; weaker than OI-27. Honestly graded; test-dial deferred to RA-10/OI-3.</t>
        </is>
      </c>
    </row>
    <row r="19">
      <c r="A19" s="20" t="n">
        <v>18</v>
      </c>
      <c r="B19" s="20" t="inlineStr">
        <is>
          <t>OI-27</t>
        </is>
      </c>
      <c r="C19" s="20" t="inlineStr">
        <is>
          <t>17 Jul</t>
        </is>
      </c>
      <c r="D19" s="20" t="inlineStr">
        <is>
          <t>T6 external</t>
        </is>
      </c>
      <c r="E19" s="30" t="inlineStr">
        <is>
          <t>WCG ref 260717-000921 (Majal, 17/07 14:22); owner's .eml on file</t>
        </is>
      </c>
      <c r="F19" s="54" t="inlineStr">
        <is>
          <t>YES</t>
        </is>
      </c>
      <c r="G19" s="54" t="inlineStr">
        <is>
          <t>PASS</t>
        </is>
      </c>
      <c r="H19" s="30" t="inlineStr">
        <is>
          <t>E3 with reference + artifact — the charter's exemplar.</t>
        </is>
      </c>
    </row>
    <row r="20">
      <c r="A20" s="20" t="n">
        <v>19</v>
      </c>
      <c r="B20" s="20" t="inlineStr">
        <is>
          <t>OI-23</t>
        </is>
      </c>
      <c r="C20" s="20" t="inlineStr">
        <is>
          <t>12 Jul</t>
        </is>
      </c>
      <c r="D20" s="20" t="inlineStr">
        <is>
          <t>T5 build</t>
        </is>
      </c>
      <c r="E20" s="30" t="inlineStr">
        <is>
          <t>file built; CACHE v21-&gt;v22; index card; register entry</t>
        </is>
      </c>
      <c r="F20" s="54" t="inlineStr">
        <is>
          <t>YES</t>
        </is>
      </c>
      <c r="G20" s="55" t="inlineStr">
        <is>
          <t>BORDER</t>
        </is>
      </c>
      <c r="H20" s="30" t="inlineStr">
        <is>
          <t>File at HEAD + cache bump checkable; validation not detailed.</t>
        </is>
      </c>
    </row>
    <row r="21">
      <c r="A21" s="20" t="n">
        <v>20</v>
      </c>
      <c r="B21" s="20" t="inlineStr">
        <is>
          <t>OI-16</t>
        </is>
      </c>
      <c r="C21" s="20" t="inlineStr">
        <is>
          <t>12 Jul</t>
        </is>
      </c>
      <c r="D21" s="20" t="inlineStr">
        <is>
          <t>T4/T3</t>
        </is>
      </c>
      <c r="E21" s="30" t="inlineStr">
        <is>
          <t>owner-approved; 9/9 formula cells verified; testzip None</t>
        </is>
      </c>
      <c r="F21" s="54" t="inlineStr">
        <is>
          <t>YES</t>
        </is>
      </c>
      <c r="G21" s="54" t="inlineStr">
        <is>
          <t>PASS</t>
        </is>
      </c>
      <c r="H21" s="30" t="inlineStr">
        <is>
          <t>E4 + re-runnable E2 (testzip).</t>
        </is>
      </c>
    </row>
    <row r="22">
      <c r="A22" s="20" t="n">
        <v>21</v>
      </c>
      <c r="B22" s="20" t="inlineStr">
        <is>
          <t>OI-15</t>
        </is>
      </c>
      <c r="C22" s="20" t="inlineStr">
        <is>
          <t>12 Jul</t>
        </is>
      </c>
      <c r="D22" s="20" t="inlineStr">
        <is>
          <t>T5 fix</t>
        </is>
      </c>
      <c r="E22" s="30" t="inlineStr">
        <is>
          <t>'spans now 126/126; depth walk 0/0/0'; masthead bump</t>
        </is>
      </c>
      <c r="F22" s="54" t="inlineStr">
        <is>
          <t>YES</t>
        </is>
      </c>
      <c r="G22" s="55" t="inlineStr">
        <is>
          <t>BORDER</t>
        </is>
      </c>
      <c r="H22" s="30" t="inlineStr">
        <is>
          <t>Re-runnable count at HEAD; no commit SHA.</t>
        </is>
      </c>
    </row>
    <row r="23">
      <c r="A23" s="20" t="n">
        <v>22</v>
      </c>
      <c r="B23" s="20" t="inlineStr">
        <is>
          <t>OI-9</t>
        </is>
      </c>
      <c r="C23" s="20" t="inlineStr">
        <is>
          <t>12 Jul</t>
        </is>
      </c>
      <c r="D23" s="20" t="inlineStr">
        <is>
          <t>T4/T5</t>
        </is>
      </c>
      <c r="E23" s="30" t="inlineStr">
        <is>
          <t>owner-approved; 6 anchored edits; R40 back-links 4/4</t>
        </is>
      </c>
      <c r="F23" s="54" t="inlineStr">
        <is>
          <t>YES</t>
        </is>
      </c>
      <c r="G23" s="55" t="inlineStr">
        <is>
          <t>BORDER</t>
        </is>
      </c>
      <c r="H23" s="30" t="inlineStr">
        <is>
          <t>Owner ruling + edits checkable at HEAD.</t>
        </is>
      </c>
    </row>
    <row r="24">
      <c r="A24" s="20" t="n">
        <v>23</v>
      </c>
      <c r="B24" s="20" t="inlineStr">
        <is>
          <t>OI-33</t>
        </is>
      </c>
      <c r="C24" s="20" t="inlineStr">
        <is>
          <t>21 Jul</t>
        </is>
      </c>
      <c r="D24" s="20" t="inlineStr">
        <is>
          <t>T4 decision</t>
        </is>
      </c>
      <c r="E24" s="30" t="inlineStr">
        <is>
          <t>'confirmed intentional by owner'</t>
        </is>
      </c>
      <c r="F24" s="54" t="inlineStr">
        <is>
          <t>YES</t>
        </is>
      </c>
      <c r="G24" s="54" t="inlineStr">
        <is>
          <t>PASS</t>
        </is>
      </c>
      <c r="H24" s="30" t="inlineStr">
        <is>
          <t>E4 owner ruling = correct closure for a scope decision.</t>
        </is>
      </c>
    </row>
    <row r="25">
      <c r="A25" s="20" t="n">
        <v>24</v>
      </c>
      <c r="B25" s="20" t="inlineStr">
        <is>
          <t>OI-34</t>
        </is>
      </c>
      <c r="C25" s="20" t="inlineStr">
        <is>
          <t>21 Jul</t>
        </is>
      </c>
      <c r="D25" s="20" t="inlineStr">
        <is>
          <t>T5 build</t>
        </is>
      </c>
      <c r="E25" s="30" t="inlineStr">
        <is>
          <t>report file at HEAD; findings; Gate B from sw.js; validation</t>
        </is>
      </c>
      <c r="F25" s="54" t="inlineStr">
        <is>
          <t>YES</t>
        </is>
      </c>
      <c r="G25" s="55" t="inlineStr">
        <is>
          <t>BORDER</t>
        </is>
      </c>
      <c r="H25" s="30" t="inlineStr">
        <is>
          <t>Report + sw.js checkable; validation prose.</t>
        </is>
      </c>
    </row>
    <row r="26">
      <c r="A26" s="20" t="n">
        <v>25</v>
      </c>
      <c r="B26" s="20" t="inlineStr">
        <is>
          <t>OI-35</t>
        </is>
      </c>
      <c r="C26" s="20" t="inlineStr">
        <is>
          <t>21 Jul</t>
        </is>
      </c>
      <c r="D26" s="20" t="inlineStr">
        <is>
          <t>T5 build</t>
        </is>
      </c>
      <c r="E26" s="30" t="inlineStr">
        <is>
          <t>file sections/TOC/task-count; validation prose</t>
        </is>
      </c>
      <c r="F26" s="54" t="inlineStr">
        <is>
          <t>YES</t>
        </is>
      </c>
      <c r="G26" s="55" t="inlineStr">
        <is>
          <t>BORDER</t>
        </is>
      </c>
      <c r="H26" s="30" t="inlineStr">
        <is>
          <t>File at HEAD checkable; no commit/script.</t>
        </is>
      </c>
    </row>
    <row r="27">
      <c r="A27" s="20" t="n">
        <v>26</v>
      </c>
      <c r="B27" s="20" t="inlineStr">
        <is>
          <t>OI-37</t>
        </is>
      </c>
      <c r="C27" s="20" t="inlineStr">
        <is>
          <t>22 Jul</t>
        </is>
      </c>
      <c r="D27" s="20" t="inlineStr">
        <is>
          <t>T5 build</t>
        </is>
      </c>
      <c r="E27" s="30" t="inlineStr">
        <is>
          <t>marker counts (69; 8x9+2); double-mark guard; template</t>
        </is>
      </c>
      <c r="F27" s="54" t="inlineStr">
        <is>
          <t>YES</t>
        </is>
      </c>
      <c r="G27" s="54" t="inlineStr">
        <is>
          <t>PASS</t>
        </is>
      </c>
      <c r="H27" s="30" t="inlineStr">
        <is>
          <t>Re-runnable counts E2.</t>
        </is>
      </c>
    </row>
    <row r="28">
      <c r="A28" s="20" t="n">
        <v>27</v>
      </c>
      <c r="B28" s="20" t="inlineStr">
        <is>
          <t>OI-38</t>
        </is>
      </c>
      <c r="C28" s="20" t="inlineStr">
        <is>
          <t>22 Jul</t>
        </is>
      </c>
      <c r="D28" s="20" t="inlineStr">
        <is>
          <t>T5 build</t>
        </is>
      </c>
      <c r="E28" s="30" t="inlineStr">
        <is>
          <t>11 files; contract 20/20; validation. Closure CORRECTED once</t>
        </is>
      </c>
      <c r="F28" s="54" t="inlineStr">
        <is>
          <t>YES</t>
        </is>
      </c>
      <c r="G28" s="55" t="inlineStr">
        <is>
          <t>BORDER</t>
        </is>
      </c>
      <c r="H28" s="30" t="inlineStr">
        <is>
          <t>Final closure evidenced; but first closure was WRONG and superseded — a closure-quality signal.</t>
        </is>
      </c>
    </row>
    <row r="30">
      <c r="A30" s="20" t="inlineStr"/>
      <c r="B30" s="56" t="inlineStr">
        <is>
          <t>TALLY</t>
        </is>
      </c>
      <c r="C30" s="20" t="inlineStr"/>
      <c r="D30" s="20" t="inlineStr"/>
      <c r="E30" s="20" t="inlineStr"/>
      <c r="F30" s="20" t="inlineStr">
        <is>
          <t>Tier-A YES 25 / WEAK 2</t>
        </is>
      </c>
      <c r="G30" s="20" t="inlineStr">
        <is>
          <t>Tier-B PASS 15 / BORDER 11 / FAIL 1</t>
        </is>
      </c>
      <c r="H30" s="30" t="inlineStr">
        <is>
          <t>F-D claimed '7 of 27 cite no evidence / 20 checkable'. Not reproducible: Tier-A shows ~2 weak (not 7); Tier-B strict shows ~11 border+fail (not 7). F-D's '7' is unlisted and unevidenced.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7" customWidth="1" style="21" min="1" max="1"/>
    <col width="14" customWidth="1" style="21" min="2" max="2"/>
    <col width="92" customWidth="1" style="21" min="3" max="3"/>
    <col width="7" customWidth="1" style="21" min="4" max="4"/>
  </cols>
  <sheetData>
    <row r="1">
      <c r="A1" s="51" t="inlineStr">
        <is>
          <t>Ref</t>
        </is>
      </c>
      <c r="B1" s="51" t="inlineStr">
        <is>
          <t>Assertion</t>
        </is>
      </c>
      <c r="C1" s="51" t="inlineStr">
        <is>
          <t>Finding</t>
        </is>
      </c>
      <c r="D1" s="51" t="inlineStr">
        <is>
          <t>Rating</t>
        </is>
      </c>
    </row>
    <row r="2">
      <c r="A2" s="20" t="inlineStr">
        <is>
          <t>CC-8</t>
        </is>
      </c>
      <c r="B2" s="30" t="inlineStr">
        <is>
          <t>A4/A8</t>
        </is>
      </c>
      <c r="C2" s="30" t="inlineStr">
        <is>
          <t>Items 21-40, like 1-20, carry NO per-entry as-at date and NO status-confirmation/next-due date. Combined across both fieldwork sessions this confirms F-B corpus-wide: 0 of 40 open items carry a confirmation date. Sole exception class: standing items (OI-20, OI-26) which carry a last-performed/cadence and so pass §9 T7.</t>
        </is>
      </c>
      <c r="D2" s="53" t="inlineStr">
        <is>
          <t>SIG</t>
        </is>
      </c>
    </row>
    <row r="3">
      <c r="A3" s="20" t="inlineStr">
        <is>
          <t>CC-9</t>
        </is>
      </c>
      <c r="B3" s="30" t="inlineStr">
        <is>
          <t>A5</t>
        </is>
      </c>
      <c r="C3" s="30" t="inlineStr">
        <is>
          <t>Free-text status proliferates and several items are mis-labelled against the §10 controlled vocabulary: OI-59 'PARTIALLY EXECUTED', OI-36 'SUBSTANTIALLY CLOSED' (both = DONE-PENDING), OI-14 'DORMANT by design' and OI-13 'calendar-triggered' (= WAITING-DATE), OI-20/OI-26 'OPEN' (= STANDING). Confirms F-G; the controlled vocabulary is defined (§10) but not yet enforced.</t>
        </is>
      </c>
      <c r="D3" s="52" t="inlineStr">
        <is>
          <t>MOD</t>
        </is>
      </c>
    </row>
    <row r="4">
      <c r="A4" s="20" t="inlineStr">
        <is>
          <t>CC-10</t>
        </is>
      </c>
      <c r="B4" s="30" t="inlineStr">
        <is>
          <t>A2</t>
        </is>
      </c>
      <c r="C4" s="30" t="inlineStr">
        <is>
          <t>Register overstates what is open — the same work is double-represented across open items. OI-11 still lists the R23 protocol (closed as OI-35) and the §06 retrofit (substantially closed as OI-36) among its deliverables; OI-36's residual overlaps OI-14/EX-10; OI-29's proposed anti-staleness controls partly overlap what the Audit of Truth itself is now building. A completeness defect: 40 'open' items are not 40 distinct live obligations.</t>
        </is>
      </c>
      <c r="D4" s="53" t="inlineStr">
        <is>
          <t>SIG</t>
        </is>
      </c>
    </row>
    <row r="5">
      <c r="A5" s="20" t="inlineStr">
        <is>
          <t>CC-11</t>
        </is>
      </c>
      <c r="B5" s="30" t="inlineStr">
        <is>
          <t>A6</t>
        </is>
      </c>
      <c r="C5" s="30" t="inlineStr">
        <is>
          <t>Multi-job entries continue in 21-40: OI-11 (7+ bundled deliverables), OI-12 (4 decisions), OI-13 (2). WITH A CHARTER CORRECTION: F-C lists OI-39 as 'three jobs'. It is not — OI-39 is ONE decision offering three OPTIONS (a/b/c). Options are not jobs; A6 PASSES for OI-39. F-C mis-counted the option set. Independence-relevant (charter self-error).</t>
        </is>
      </c>
      <c r="D5" s="52" t="inlineStr">
        <is>
          <t>MOD</t>
        </is>
      </c>
    </row>
    <row r="6">
      <c r="A6" s="20" t="inlineStr">
        <is>
          <t>CC-12</t>
        </is>
      </c>
      <c r="B6" s="30" t="inlineStr">
        <is>
          <t>A10</t>
        </is>
      </c>
      <c r="C6" s="30" t="inlineStr">
        <is>
          <t>CLOSED-LOG SUFFICIENCY — the headline S3 finding. Charter F-D asserts '7 of 27 closures cite no evidence; 20 name something checkable.' Exhaustive test of all 27 finds the figure NOT REPRODUCIBLE and UNLISTED. Under A10 as written (fails only on pure narrative) 25/27 name a checkable artifact and only 2 are weak (OI-49 project-knowledge removal not repo-verifiable; OI-40 provider source named by class not locator). Under the strict §8 reading (a T5 build needs a named commit AND re-runnable validation; 'validation clean' prose is E5) only 15/27 are clean and ~11 rest on validation narrative with no commit SHA. F-D's '7' matches neither bound. It is itself an E5 count inside the charter — the exact defect class the programme exists to remove.</t>
        </is>
      </c>
      <c r="D6" s="53" t="inlineStr">
        <is>
          <t>SIG</t>
        </is>
      </c>
    </row>
    <row r="7">
      <c r="A7" s="20" t="inlineStr">
        <is>
          <t>CC-13</t>
        </is>
      </c>
      <c r="B7" s="30" t="inlineStr">
        <is>
          <t>A7 (closed log)</t>
        </is>
      </c>
      <c r="C7" s="30" t="inlineStr">
        <is>
          <t>Two closures name a source weaker than their type requires. OI-40 (T6, needs E3) cites provider-published material by CLASS, not by an openable locator — materially weaker than OI-27's E3-with-reference exemplar. OI-49's closing state (removal from project knowledge) is inherently outside the repo and cannot be verified at a commit; the best obtainable evidence is the owner's word. Both are honestly recorded but locator-thin.</t>
        </is>
      </c>
      <c r="D7" s="52" t="inlineStr">
        <is>
          <t>MOD</t>
        </is>
      </c>
    </row>
    <row r="8">
      <c r="A8" s="20" t="inlineStr">
        <is>
          <t>OBS-1</t>
        </is>
      </c>
      <c r="B8" s="30" t="inlineStr">
        <is>
          <t>A10 (structure)</t>
        </is>
      </c>
      <c r="C8" s="30" t="inlineStr">
        <is>
          <t>The closed log correctly holds two record types (27 numbered closures + 34 session records) and its own NOTE warns that any count of CLOSED ITEMS must filter on the OI number. This control is sound and VERIFIED: the two closure formats (recent 'DATE OI-nn ·' vs older 'DATE OI-nn CLOSED') caused a probe error at the Session-2 close (a line-start regex missed OI-67); the log's own guidance is the correct mitigation. Recorded as verified, not a defect.</t>
        </is>
      </c>
      <c r="D8" s="20" t="inlineStr">
        <is>
          <t>form</t>
        </is>
      </c>
    </row>
    <row r="9">
      <c r="A9" s="20" t="inlineStr">
        <is>
          <t>IND-1</t>
        </is>
      </c>
      <c r="B9" s="30" t="inlineStr">
        <is>
          <t>Independence</t>
        </is>
      </c>
      <c r="C9" s="30" t="inlineStr">
        <is>
          <t>CC-11 and CC-12 both correct errors in the charter's own §14 interim findings (F-C over-counted OI-39; F-D's '7 of 27' is unreproducible). Claude authored the charter, so these are self-review catches — surfaced deliberately per §13. No S3 finding rests on assertion: each cites an OIR line range or the re-runnable closed-log census (AoT_S3_ClosedLog). Evidence grades applied honestly, including to Claude's own past validation prose (E5 unless commit+script recorded).</t>
        </is>
      </c>
      <c r="D9" s="20" t="inlineStr">
        <is>
          <t>note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2" customWidth="1" style="21" min="1" max="1"/>
    <col width="12" customWidth="1" style="21" min="2" max="2"/>
    <col width="86" customWidth="1" style="21" min="3" max="3"/>
  </cols>
  <sheetData>
    <row r="1">
      <c r="A1" s="57" t="inlineStr">
        <is>
          <t>Action</t>
        </is>
      </c>
      <c r="B1" s="57" t="inlineStr">
        <is>
          <t>Ruling</t>
        </is>
      </c>
      <c r="C1" s="57" t="inlineStr">
        <is>
          <t>Detail</t>
        </is>
      </c>
    </row>
    <row r="2">
      <c r="A2" s="20" t="inlineStr">
        <is>
          <t>SPLIT OI-11</t>
        </is>
      </c>
      <c r="B2" s="20" t="inlineStr">
        <is>
          <t>D3</t>
        </is>
      </c>
      <c r="C2" s="30" t="inlineStr">
        <is>
          <t>→ reduced to R3 ledger build; R23(OI-35)/§06(OI-36) struck (closed elsewhere); kit acquisition → OI-68</t>
        </is>
      </c>
    </row>
    <row r="3">
      <c r="A3" s="20" t="inlineStr">
        <is>
          <t>SPLIT OI-24</t>
        </is>
      </c>
      <c r="B3" s="20" t="inlineStr">
        <is>
          <t>D3</t>
        </is>
      </c>
      <c r="C3" s="30" t="inlineStr">
        <is>
          <t>→ disc + Neil card + IDPs; Mary-Ann MANDATORY card renewal → OI-69</t>
        </is>
      </c>
    </row>
    <row r="4">
      <c r="A4" s="20" t="inlineStr">
        <is>
          <t>SPLIT OI-62</t>
        </is>
      </c>
      <c r="B4" s="20" t="inlineStr">
        <is>
          <t>D2/D3</t>
        </is>
      </c>
      <c r="C4" s="30" t="inlineStr">
        <is>
          <t>→ coolant flush (re-rated SIGNIFICANT); thermostat &amp; water pump → OI-70</t>
        </is>
      </c>
    </row>
    <row r="5">
      <c r="A5" s="20" t="inlineStr">
        <is>
          <t>SPLIT OI-61</t>
        </is>
      </c>
      <c r="B5" s="20" t="inlineStr">
        <is>
          <t>D3</t>
        </is>
      </c>
      <c r="C5" s="30" t="inlineStr">
        <is>
          <t>→ rear hub seal (SAFETY); front knuckle → OI-71</t>
        </is>
      </c>
    </row>
    <row r="6">
      <c r="A6" s="20" t="inlineStr">
        <is>
          <t>SPLIT OI-13</t>
        </is>
      </c>
      <c r="B6" s="20" t="inlineStr">
        <is>
          <t>D3</t>
        </is>
      </c>
      <c r="C6" s="30" t="inlineStr">
        <is>
          <t>→ R23 post-trip review (WAITING-DATE); RA-8 solo assessment → OI-72</t>
        </is>
      </c>
    </row>
    <row r="7">
      <c r="A7" s="20" t="inlineStr">
        <is>
          <t>SPLIT OI-4</t>
        </is>
      </c>
      <c r="B7" s="20" t="inlineStr">
        <is>
          <t>D3</t>
        </is>
      </c>
      <c r="C7" s="30" t="inlineStr">
        <is>
          <t>→ WFA course; medical/dental screening → OI-73; expedition medical kit → OI-74</t>
        </is>
      </c>
    </row>
    <row r="8">
      <c r="A8" s="20" t="inlineStr">
        <is>
          <t>KEPT WHOLE OI-66</t>
        </is>
      </c>
      <c r="B8" s="20" t="inlineStr">
        <is>
          <t>D3</t>
        </is>
      </c>
      <c r="C8" s="30" t="inlineStr">
        <is>
          <t>one ORDERED job (breather before reseal) — A6 passes, not split</t>
        </is>
      </c>
    </row>
    <row r="9">
      <c r="A9" s="20" t="inlineStr">
        <is>
          <t>KEPT WHOLE OI-12</t>
        </is>
      </c>
      <c r="B9" s="20" t="inlineStr">
        <is>
          <t>D3</t>
        </is>
      </c>
      <c r="C9" s="30" t="inlineStr">
        <is>
          <t>one decision workshop; carnet 12-month interlock flagged as binding sub-constraint</t>
        </is>
      </c>
    </row>
    <row r="10">
      <c r="A10" s="20" t="inlineStr">
        <is>
          <t>RE-RATE OI-62/OI-63</t>
        </is>
      </c>
      <c r="B10" s="20" t="inlineStr">
        <is>
          <t>D2</t>
        </is>
      </c>
      <c r="C10" s="30" t="inlineStr">
        <is>
          <t>MODERATE → SIGNIFICANT on integrity/schedulability, not quantum</t>
        </is>
      </c>
    </row>
    <row r="11">
      <c r="A11" s="20" t="inlineStr">
        <is>
          <t>ADV-010 re-map</t>
        </is>
      </c>
      <c r="B11" s="20" t="inlineStr">
        <is>
          <t>CC-7</t>
        </is>
      </c>
      <c r="C11" s="30" t="inlineStr">
        <is>
          <t>boost-pipe clamp → OI-75 (was mis-ref'd OI-7); ref corrected in service xlsx Advisories</t>
        </is>
      </c>
    </row>
    <row r="12">
      <c r="A12" s="20" t="inlineStr">
        <is>
          <t>G3 sweep folded in</t>
        </is>
      </c>
      <c r="B12" s="20" t="inlineStr">
        <is>
          <t>owner instr.</t>
        </is>
      </c>
      <c r="C12" s="30" t="inlineStr">
        <is>
          <t>OI-76 passport validity · OI-77 insurance 24-month duration-cap · OI-78 card expiry mid-trip</t>
        </is>
      </c>
    </row>
    <row r="13">
      <c r="A13" s="20" t="inlineStr">
        <is>
          <t>Status vocabulary</t>
        </is>
      </c>
      <c r="B13" s="20" t="inlineStr">
        <is>
          <t>CC-9/§10</t>
        </is>
      </c>
      <c r="C13" s="30" t="inlineStr">
        <is>
          <t>BLOCKED OI-59; DONE-PENDING OI-8/OI-36; WAITING-DATE OI-13/14/21/22/25/28/72; STANDING OI-20/26</t>
        </is>
      </c>
    </row>
    <row r="14">
      <c r="A14" s="20" t="inlineStr">
        <is>
          <t>Confirmation-date field</t>
        </is>
      </c>
      <c r="B14" s="20" t="inlineStr">
        <is>
          <t>CC-8</t>
        </is>
      </c>
      <c r="C14" s="30" t="inlineStr">
        <is>
          <t>added to all 51 open entries + the schema (line 5): CONFIRMED / NEXT-DUE</t>
        </is>
      </c>
    </row>
    <row r="15">
      <c r="A15" s="20" t="inlineStr">
        <is>
          <t>Closed-log reclassification</t>
        </is>
      </c>
      <c r="B15" s="20" t="inlineStr">
        <is>
          <t>D4 strict</t>
        </is>
      </c>
      <c r="C15" s="30" t="inlineStr">
        <is>
          <t>12 → DONE-PENDING-EVIDENCE: OI-67/58/55/52/40/23/15/9/34/35/38 + OI-49; 15 stay CLOSED</t>
        </is>
      </c>
    </row>
    <row r="16">
      <c r="A16" s="20" t="inlineStr">
        <is>
          <t>Facts §3 recast</t>
        </is>
      </c>
      <c r="B16" s="20" t="inlineStr">
        <is>
          <t>CC-6</t>
        </is>
      </c>
      <c r="C16" s="30" t="inlineStr">
        <is>
          <t>competing status list → pointers into OIR; figures kept, '~N km ago' verdicts withdrawn</t>
        </is>
      </c>
    </row>
    <row r="17">
      <c r="A17" s="20" t="inlineStr">
        <is>
          <t>Open-item count</t>
        </is>
      </c>
      <c r="B17" s="20" t="inlineStr">
        <is>
          <t>—</t>
        </is>
      </c>
      <c r="C17" s="30" t="inlineStr">
        <is>
          <t>40 → 51; next free OI-79; NO item closed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5" customWidth="1" style="21" min="1" max="1"/>
    <col width="40" customWidth="1" style="21" min="2" max="2"/>
    <col width="54" customWidth="1" style="21" min="3" max="3"/>
    <col width="10" customWidth="1" style="21" min="4" max="4"/>
    <col width="14" customWidth="1" style="21" min="5" max="5"/>
    <col width="12" customWidth="1" style="21" min="6" max="6"/>
  </cols>
  <sheetData>
    <row r="1">
      <c r="A1" s="57" t="inlineStr">
        <is>
          <t>Gen</t>
        </is>
      </c>
      <c r="B1" s="57" t="inlineStr">
        <is>
          <t>Candidate</t>
        </is>
      </c>
      <c r="C1" s="57" t="inlineStr">
        <is>
          <t>Adjudication vs existing register</t>
        </is>
      </c>
      <c r="D1" s="57" t="inlineStr">
        <is>
          <t>Outcome</t>
        </is>
      </c>
      <c r="E1" s="57" t="inlineStr">
        <is>
          <t>OI</t>
        </is>
      </c>
      <c r="F1" s="57" t="inlineStr">
        <is>
          <t>Rating</t>
        </is>
      </c>
    </row>
    <row r="2">
      <c r="A2" s="20" t="inlineStr">
        <is>
          <t>G1</t>
        </is>
      </c>
      <c r="B2" s="30" t="inlineStr">
        <is>
          <t>inReach + IsatPhone SOS both → Garmin IERCC (single receiving centre)</t>
        </is>
      </c>
      <c r="C2" s="30" t="inlineStr">
        <is>
          <t>Not tracked; distinct from OI-46 (alternator). Independent channel = voice-dial +27 medevac (OI-47).</t>
        </is>
      </c>
      <c r="D2" s="20" t="inlineStr">
        <is>
          <t>NEW</t>
        </is>
      </c>
      <c r="E2" s="20" t="inlineStr">
        <is>
          <t>OI-79</t>
        </is>
      </c>
      <c r="F2" s="20" t="inlineStr">
        <is>
          <t>MODERATE</t>
        </is>
      </c>
    </row>
    <row r="3">
      <c r="A3" s="20" t="inlineStr">
        <is>
          <t>G1</t>
        </is>
      </c>
      <c r="B3" s="30" t="inlineStr">
        <is>
          <t>Two batteries on one alternator</t>
        </is>
      </c>
      <c r="C3" s="30" t="inlineStr">
        <is>
          <t>Already tracked — crank-survival critical path OI-46 / RA-4.</t>
        </is>
      </c>
      <c r="D3" s="20" t="inlineStr">
        <is>
          <t>existing</t>
        </is>
      </c>
      <c r="E3" s="20" t="inlineStr">
        <is>
          <t>OI-46</t>
        </is>
      </c>
      <c r="F3" s="20" t="inlineStr">
        <is>
          <t>—</t>
        </is>
      </c>
    </row>
    <row r="4">
      <c r="A4" s="20" t="inlineStr">
        <is>
          <t>G2</t>
        </is>
      </c>
      <c r="B4" s="30" t="inlineStr">
        <is>
          <t>Underbody protection (sump/tank/transfer) fitted?</t>
        </is>
      </c>
      <c r="C4" s="30" t="inlineStr">
        <is>
          <t>No record; trip-ender, no field substitute. Same 'fitted or not' class as OI-64.</t>
        </is>
      </c>
      <c r="D4" s="20" t="inlineStr">
        <is>
          <t>NEW</t>
        </is>
      </c>
      <c r="E4" s="20" t="inlineStr">
        <is>
          <t>OI-80</t>
        </is>
      </c>
      <c r="F4" s="20" t="inlineStr">
        <is>
          <t>SIGNIFICANT</t>
        </is>
      </c>
    </row>
    <row r="5">
      <c r="A5" s="20" t="inlineStr">
        <is>
          <t>G2</t>
        </is>
      </c>
      <c r="B5" s="30" t="inlineStr">
        <is>
          <t>Spare key / immobiliser SPOF</t>
        </is>
      </c>
      <c r="C5" s="30" t="inlineStr">
        <is>
          <t>Not tracked; single key/transponder fault = immobile, no roadside cut.</t>
        </is>
      </c>
      <c r="D5" s="20" t="inlineStr">
        <is>
          <t>NEW</t>
        </is>
      </c>
      <c r="E5" s="20" t="inlineStr">
        <is>
          <t>OI-81</t>
        </is>
      </c>
      <c r="F5" s="20" t="inlineStr">
        <is>
          <t>MODERATE</t>
        </is>
      </c>
    </row>
    <row r="6">
      <c r="A6" s="20" t="inlineStr">
        <is>
          <t>G2</t>
        </is>
      </c>
      <c r="B6" s="30" t="inlineStr">
        <is>
          <t>One spare tyre north of Zambezi</t>
        </is>
      </c>
      <c r="C6" s="30" t="inlineStr">
        <is>
          <t>Already tracked — OI-19 second-spare strategy.</t>
        </is>
      </c>
      <c r="D6" s="20" t="inlineStr">
        <is>
          <t>existing</t>
        </is>
      </c>
      <c r="E6" s="20" t="inlineStr">
        <is>
          <t>OI-19</t>
        </is>
      </c>
      <c r="F6" s="20" t="inlineStr">
        <is>
          <t>—</t>
        </is>
      </c>
    </row>
    <row r="7">
      <c r="A7" s="20" t="inlineStr">
        <is>
          <t>G2</t>
        </is>
      </c>
      <c r="B7" s="30" t="inlineStr">
        <is>
          <t>Alternator / starter / FIP no field substitute</t>
        </is>
      </c>
      <c r="C7" s="30" t="inlineStr">
        <is>
          <t>Alternator RA-4/OI-46; starter has push-start; FIP fresh + RA-2. Covered.</t>
        </is>
      </c>
      <c r="D7" s="20" t="inlineStr">
        <is>
          <t>existing</t>
        </is>
      </c>
      <c r="E7" s="20" t="inlineStr">
        <is>
          <t>—</t>
        </is>
      </c>
      <c r="F7" s="20" t="inlineStr">
        <is>
          <t>—</t>
        </is>
      </c>
    </row>
    <row r="8">
      <c r="A8" s="20" t="inlineStr">
        <is>
          <t>G3</t>
        </is>
      </c>
      <c r="B8" s="30" t="inlineStr">
        <is>
          <t>Expiry mapping (passport/insurance/card/DOT/meds)</t>
        </is>
      </c>
      <c r="C8" s="30" t="inlineStr">
        <is>
          <t>Run in Session 5 — OI-76/77/78 opened; DOT/meds/first-aid noted on OI-28/74/4.</t>
        </is>
      </c>
      <c r="D8" s="20" t="inlineStr">
        <is>
          <t>done S5</t>
        </is>
      </c>
      <c r="E8" s="20" t="inlineStr">
        <is>
          <t>OI-76/77/78</t>
        </is>
      </c>
      <c r="F8" s="20" t="inlineStr">
        <is>
          <t>—</t>
        </is>
      </c>
    </row>
    <row r="9">
      <c r="A9" s="20" t="inlineStr">
        <is>
          <t>G4</t>
        </is>
      </c>
      <c r="B9" s="30" t="inlineStr">
        <is>
          <t>Mid-trip renewal cluster (~2029): carnet+disc+insurance+card</t>
        </is>
      </c>
      <c r="C9" s="30" t="inlineStr">
        <is>
          <t>Pieces tracked (OI-12/25/77/69) but never planned as ONE window.</t>
        </is>
      </c>
      <c r="D9" s="20" t="inlineStr">
        <is>
          <t>NEW</t>
        </is>
      </c>
      <c r="E9" s="20" t="inlineStr">
        <is>
          <t>OI-82</t>
        </is>
      </c>
      <c r="F9" s="20" t="inlineStr">
        <is>
          <t>MODERATE</t>
        </is>
      </c>
    </row>
    <row r="10">
      <c r="A10" s="20" t="inlineStr">
        <is>
          <t>G4</t>
        </is>
      </c>
      <c r="B10" s="30" t="inlineStr">
        <is>
          <t>Carnet 12-mo vs 24-mo trip</t>
        </is>
      </c>
      <c r="C10" s="30" t="inlineStr">
        <is>
          <t>Already tracked — OI-12 binding sub-constraint.</t>
        </is>
      </c>
      <c r="D10" s="20" t="inlineStr">
        <is>
          <t>existing</t>
        </is>
      </c>
      <c r="E10" s="20" t="inlineStr">
        <is>
          <t>OI-12</t>
        </is>
      </c>
      <c r="F10" s="20" t="inlineStr">
        <is>
          <t>—</t>
        </is>
      </c>
    </row>
    <row r="11">
      <c r="A11" s="20" t="inlineStr">
        <is>
          <t>G5</t>
        </is>
      </c>
      <c r="B11" s="30" t="inlineStr">
        <is>
          <t>House-battery capacity fade — no sensor, no test cadence</t>
        </is>
      </c>
      <c r="C11" s="30" t="inlineStr">
        <is>
          <t>Not tracked; SmartShunt reads SOC not capacity; RA-2 is engine only.</t>
        </is>
      </c>
      <c r="D11" s="20" t="inlineStr">
        <is>
          <t>NEW</t>
        </is>
      </c>
      <c r="E11" s="20" t="inlineStr">
        <is>
          <t>OI-83</t>
        </is>
      </c>
      <c r="F11" s="20" t="inlineStr">
        <is>
          <t>MODERATE</t>
        </is>
      </c>
    </row>
    <row r="12">
      <c r="A12" s="20" t="inlineStr">
        <is>
          <t>G5</t>
        </is>
      </c>
      <c r="B12" s="30" t="inlineStr">
        <is>
          <t>Seal weeping between services</t>
        </is>
      </c>
      <c r="C12" s="30" t="inlineStr">
        <is>
          <t>Known leaks tracked OI-61/71; general cadence is an R23 pre-trip matter.</t>
        </is>
      </c>
      <c r="D12" s="20" t="inlineStr">
        <is>
          <t>existing</t>
        </is>
      </c>
      <c r="E12" s="20" t="inlineStr">
        <is>
          <t>OI-61/71</t>
        </is>
      </c>
      <c r="F12" s="20" t="inlineStr">
        <is>
          <t>—</t>
        </is>
      </c>
    </row>
    <row r="13">
      <c r="A13" s="20" t="inlineStr">
        <is>
          <t>G6</t>
        </is>
      </c>
      <c r="B13" s="30" t="inlineStr">
        <is>
          <t>Alternator idle load headroom (40A DC-DC + loads vs idle output)</t>
        </is>
      </c>
      <c r="C13" s="30" t="inlineStr">
        <is>
          <t>Not tracked; OI-46 is jump-pack recharge, not idle-charge margin.</t>
        </is>
      </c>
      <c r="D13" s="20" t="inlineStr">
        <is>
          <t>NEW</t>
        </is>
      </c>
      <c r="E13" s="20" t="inlineStr">
        <is>
          <t>OI-84</t>
        </is>
      </c>
      <c r="F13" s="20" t="inlineStr">
        <is>
          <t>MODERATE</t>
        </is>
      </c>
    </row>
    <row r="14">
      <c r="A14" s="20" t="inlineStr">
        <is>
          <t>G6</t>
        </is>
      </c>
      <c r="B14" s="30" t="inlineStr">
        <is>
          <t>Payload vs 3,000 kg GVM (one estimate ~50 kg over)</t>
        </is>
      </c>
      <c r="C14" s="30" t="inlineStr">
        <is>
          <t>Already tracked — OI-1 weighbridge, figures PROVISIONAL.</t>
        </is>
      </c>
      <c r="D14" s="20" t="inlineStr">
        <is>
          <t>existing</t>
        </is>
      </c>
      <c r="E14" s="20" t="inlineStr">
        <is>
          <t>OI-1</t>
        </is>
      </c>
      <c r="F14" s="20" t="inlineStr">
        <is>
          <t>—</t>
        </is>
      </c>
    </row>
    <row r="15">
      <c r="A15" s="20" t="inlineStr">
        <is>
          <t>G7</t>
        </is>
      </c>
      <c r="B15" s="30" t="inlineStr">
        <is>
          <t>Free-flow exhaust second-order — EGT baseline predates it</t>
        </is>
      </c>
      <c r="C15" s="30" t="inlineStr">
        <is>
          <t>Not tracked; charter's named example. Fuelling likely OK (FIP calibrated post-exhaust); EGT ref stale.</t>
        </is>
      </c>
      <c r="D15" s="20" t="inlineStr">
        <is>
          <t>NEW</t>
        </is>
      </c>
      <c r="E15" s="20" t="inlineStr">
        <is>
          <t>OI-85</t>
        </is>
      </c>
      <c r="F15" s="20" t="inlineStr">
        <is>
          <t>MODERATE</t>
        </is>
      </c>
    </row>
    <row r="16">
      <c r="A16" s="20" t="inlineStr">
        <is>
          <t>G7</t>
        </is>
      </c>
      <c r="B16" s="30" t="inlineStr">
        <is>
          <t>LiFePO4 low-temp charge cutoff — sub-zero mornings</t>
        </is>
      </c>
      <c r="C16" s="30" t="inlineStr">
        <is>
          <t>Not tracked operationally; bites on imminent Karoo winter.</t>
        </is>
      </c>
      <c r="D16" s="20" t="inlineStr">
        <is>
          <t>NEW</t>
        </is>
      </c>
      <c r="E16" s="20" t="inlineStr">
        <is>
          <t>OI-86</t>
        </is>
      </c>
      <c r="F16" s="20" t="inlineStr">
        <is>
          <t>MODERATE</t>
        </is>
      </c>
    </row>
    <row r="17">
      <c r="A17" s="20" t="inlineStr">
        <is>
          <t>G8</t>
        </is>
      </c>
      <c r="B17" s="30" t="inlineStr">
        <is>
          <t>Capability/knowledge concentration beyond RA-8</t>
        </is>
      </c>
      <c r="C17" s="30" t="inlineStr">
        <is>
          <t>RA-8/OI-72 covers Mary-Ann driving/recovery/comms only; extend both ways + knowledge-in-narrative.</t>
        </is>
      </c>
      <c r="D17" s="20" t="inlineStr">
        <is>
          <t>NEW</t>
        </is>
      </c>
      <c r="E17" s="20" t="inlineStr">
        <is>
          <t>OI-87</t>
        </is>
      </c>
      <c r="F17" s="20" t="inlineStr">
        <is>
          <t>MODERATE</t>
        </is>
      </c>
    </row>
    <row r="18">
      <c r="A18" s="20" t="inlineStr">
        <is>
          <t>—</t>
        </is>
      </c>
      <c r="B18" s="30" t="inlineStr">
        <is>
          <t>TALLY</t>
        </is>
      </c>
      <c r="C18" s="30" t="inlineStr">
        <is>
          <t>9 genuine new items opened (1 SIGNIFICANT, 8 MODERATE); 50→59 open; next free OI-88.</t>
        </is>
      </c>
      <c r="D18" s="20" t="inlineStr"/>
      <c r="E18" s="20" t="inlineStr"/>
      <c r="F18" s="2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 customWidth="1" style="21" min="1" max="1"/>
    <col width="40" customWidth="1" style="21" min="2" max="2"/>
    <col width="54" customWidth="1" style="21" min="3" max="3"/>
    <col width="10" customWidth="1" style="21" min="4" max="4"/>
    <col width="14" customWidth="1" style="21" min="5" max="5"/>
    <col width="12" customWidth="1" style="21" min="6" max="6"/>
  </cols>
  <sheetData>
    <row r="1">
      <c r="A1" s="57" t="inlineStr">
        <is>
          <t>Gen</t>
        </is>
      </c>
      <c r="B1" s="57" t="inlineStr">
        <is>
          <t>Candidate</t>
        </is>
      </c>
      <c r="C1" s="57" t="inlineStr">
        <is>
          <t>Adjudication vs existing register + R38</t>
        </is>
      </c>
      <c r="D1" s="57" t="inlineStr">
        <is>
          <t>Outcome</t>
        </is>
      </c>
      <c r="E1" s="57" t="inlineStr">
        <is>
          <t>OI</t>
        </is>
      </c>
      <c r="F1" s="57" t="inlineStr">
        <is>
          <t>Rating</t>
        </is>
      </c>
    </row>
    <row r="2">
      <c r="A2" s="20" t="inlineStr">
        <is>
          <t>G9</t>
        </is>
      </c>
      <c r="B2" s="30" t="inlineStr">
        <is>
          <t>Long-duration crew wellbeing / chronic fatigue check-in</t>
        </is>
      </c>
      <c r="C2" s="30" t="inlineStr">
        <is>
          <t>R38 §5 covers ACUTE rest cadence + share-load + veto; nothing at long-duration cadence.</t>
        </is>
      </c>
      <c r="D2" s="20" t="inlineStr">
        <is>
          <t>NEW</t>
        </is>
      </c>
      <c r="E2" s="20" t="inlineStr">
        <is>
          <t>OI-90</t>
        </is>
      </c>
      <c r="F2" s="20" t="inlineStr">
        <is>
          <t>MODERATE</t>
        </is>
      </c>
    </row>
    <row r="3">
      <c r="A3" s="20" t="inlineStr">
        <is>
          <t>G9</t>
        </is>
      </c>
      <c r="B3" s="30" t="inlineStr">
        <is>
          <t>One-crew-incapacitated evacuation drill</t>
        </is>
      </c>
      <c r="C3" s="30" t="inlineStr">
        <is>
          <t>R38 §2 medical row = medevac (external help); OI-4 WFA; OI-72 RA-8 = well-crew solo. Specific casualty-in-vehicle drive-out untracked.</t>
        </is>
      </c>
      <c r="D3" s="20" t="inlineStr">
        <is>
          <t>NEW</t>
        </is>
      </c>
      <c r="E3" s="20" t="inlineStr">
        <is>
          <t>OI-91</t>
        </is>
      </c>
      <c r="F3" s="20" t="inlineStr">
        <is>
          <t>SIGNIFICANT</t>
        </is>
      </c>
    </row>
    <row r="4">
      <c r="A4" s="20" t="inlineStr">
        <is>
          <t>G9</t>
        </is>
      </c>
      <c r="B4" s="30" t="inlineStr">
        <is>
          <t>Mid-trip dental emergency plan</t>
        </is>
      </c>
      <c r="C4" s="30" t="inlineStr">
        <is>
          <t>R17 covers dental (brush/floss doctrine, emergency kit, 'abscess in rural Tanzania' warning). Adequate.</t>
        </is>
      </c>
      <c r="D4" s="20" t="inlineStr">
        <is>
          <t>existing</t>
        </is>
      </c>
      <c r="E4" s="20" t="inlineStr">
        <is>
          <t>R17</t>
        </is>
      </c>
      <c r="F4" s="20" t="inlineStr">
        <is>
          <t>—</t>
        </is>
      </c>
    </row>
    <row r="5">
      <c r="A5" s="20" t="inlineStr">
        <is>
          <t>G9</t>
        </is>
      </c>
      <c r="B5" s="30" t="inlineStr">
        <is>
          <t>Interpersonal friction — discretionary risk</t>
        </is>
      </c>
      <c r="C5" s="30" t="inlineStr">
        <is>
          <t>R38 §5 veto rule handles discretionary-risk disagreement well. In OI-90 for long-duration only.</t>
        </is>
      </c>
      <c r="D5" s="20" t="inlineStr">
        <is>
          <t>existing</t>
        </is>
      </c>
      <c r="E5" s="20" t="inlineStr">
        <is>
          <t>R38 §5</t>
        </is>
      </c>
      <c r="F5" s="20" t="inlineStr">
        <is>
          <t>—</t>
        </is>
      </c>
    </row>
    <row r="6">
      <c r="A6" s="20" t="inlineStr">
        <is>
          <t>G9</t>
        </is>
      </c>
      <c r="B6" s="30" t="inlineStr">
        <is>
          <t>Age progression / physical decline</t>
        </is>
      </c>
      <c r="C6" s="30" t="inlineStr">
        <is>
          <t>OI-43 flags insurer age limits; physical fitness folds into OI-90 monthly wellbeing check.</t>
        </is>
      </c>
      <c r="D6" s="20" t="inlineStr">
        <is>
          <t>existing</t>
        </is>
      </c>
      <c r="E6" s="20" t="inlineStr">
        <is>
          <t>OI-43 + OI-90</t>
        </is>
      </c>
      <c r="F6" s="20" t="inlineStr">
        <is>
          <t>—</t>
        </is>
      </c>
    </row>
    <row r="7">
      <c r="A7" s="20" t="inlineStr">
        <is>
          <t>G10</t>
        </is>
      </c>
      <c r="B7" s="30" t="inlineStr">
        <is>
          <t>In-trip volatility monitoring cadence</t>
        </is>
      </c>
      <c r="C7" s="30" t="inlineStr">
        <is>
          <t>R38 §6 A8 lists route-security review at rest days + named sources (advisories, EX-10, local intel). Substantially covered.</t>
        </is>
      </c>
      <c r="D7" s="20" t="inlineStr">
        <is>
          <t>existing</t>
        </is>
      </c>
      <c r="E7" s="20" t="inlineStr">
        <is>
          <t>R38 §6 A8</t>
        </is>
      </c>
      <c r="F7" s="20" t="inlineStr">
        <is>
          <t>—</t>
        </is>
      </c>
    </row>
    <row r="8">
      <c r="A8" s="20" t="inlineStr">
        <is>
          <t>G10</t>
        </is>
      </c>
      <c r="B8" s="30" t="inlineStr">
        <is>
          <t>Leg-reroute framework (distinct from suspend/abort)</t>
        </is>
      </c>
      <c r="C8" s="30" t="inlineStr">
        <is>
          <t>R38 §2 covers suspend + abort; the re-route decision (change onward corridor without ending trip) has no framework.</t>
        </is>
      </c>
      <c r="D8" s="20" t="inlineStr">
        <is>
          <t>NEW</t>
        </is>
      </c>
      <c r="E8" s="20" t="inlineStr">
        <is>
          <t>OI-92</t>
        </is>
      </c>
      <c r="F8" s="20" t="inlineStr">
        <is>
          <t>MODERATE</t>
        </is>
      </c>
    </row>
    <row r="9">
      <c r="A9" s="20" t="inlineStr">
        <is>
          <t>G10</t>
        </is>
      </c>
      <c r="B9" s="30" t="inlineStr">
        <is>
          <t>Regional health / disease alerts</t>
        </is>
      </c>
      <c r="C9" s="30" t="inlineStr">
        <is>
          <t>R17 malaria/waterborne; EX-10 pre-departure refresh. In-trip alert cadence subsumed by OI-92 monitoring.</t>
        </is>
      </c>
      <c r="D9" s="20" t="inlineStr">
        <is>
          <t>existing</t>
        </is>
      </c>
      <c r="E9" s="20" t="inlineStr">
        <is>
          <t>R17 + EX-10</t>
        </is>
      </c>
      <c r="F9" s="20" t="inlineStr">
        <is>
          <t>—</t>
        </is>
      </c>
    </row>
    <row r="10">
      <c r="A10" s="20" t="inlineStr">
        <is>
          <t>G11</t>
        </is>
      </c>
      <c r="B10" s="30" t="inlineStr">
        <is>
          <t>Home-side legal &amp; insurance (house cover, wills, PoA)</t>
        </is>
      </c>
      <c r="C10" s="30" t="inlineStr">
        <is>
          <t>Untracked. House-owner occupation clauses (SA: 30/60/90 day cap); PoA holder currency; wills. R38 §1 anchor is comms, not legal.</t>
        </is>
      </c>
      <c r="D10" s="20" t="inlineStr">
        <is>
          <t>NEW</t>
        </is>
      </c>
      <c r="E10" s="20" t="inlineStr">
        <is>
          <t>OI-93</t>
        </is>
      </c>
      <c r="F10" s="20" t="inlineStr">
        <is>
          <t>SIGNIFICANT</t>
        </is>
      </c>
    </row>
    <row r="11">
      <c r="A11" s="20" t="inlineStr">
        <is>
          <t>G11</t>
        </is>
      </c>
      <c r="B11" s="30" t="inlineStr">
        <is>
          <t>Home-side operational (banking, mail, subs, tax, med-aid)</t>
        </is>
      </c>
      <c r="C11" s="30" t="inlineStr">
        <is>
          <t>Untracked. Silent-failure class over 24 months. R39 §6 is money on the road, not home-side.</t>
        </is>
      </c>
      <c r="D11" s="20" t="inlineStr">
        <is>
          <t>NEW</t>
        </is>
      </c>
      <c r="E11" s="20" t="inlineStr">
        <is>
          <t>OI-94</t>
        </is>
      </c>
      <c r="F11" s="20" t="inlineStr">
        <is>
          <t>MODERATE</t>
        </is>
      </c>
    </row>
    <row r="12">
      <c r="A12" s="20" t="inlineStr">
        <is>
          <t>G11</t>
        </is>
      </c>
      <c r="B12" s="30" t="inlineStr">
        <is>
          <t>Home-side pet / property care</t>
        </is>
      </c>
      <c r="C12" s="30" t="inlineStr">
        <is>
          <t>Life-admin class; too diffuse for a register item; folds into OI-94 operational.</t>
        </is>
      </c>
      <c r="D12" s="20" t="inlineStr">
        <is>
          <t>existing</t>
        </is>
      </c>
      <c r="E12" s="20" t="inlineStr">
        <is>
          <t>OI-94</t>
        </is>
      </c>
      <c r="F12" s="20" t="inlineStr">
        <is>
          <t>—</t>
        </is>
      </c>
    </row>
    <row r="13">
      <c r="A13" s="20" t="inlineStr">
        <is>
          <t>G12</t>
        </is>
      </c>
      <c r="B13" s="30" t="inlineStr">
        <is>
          <t>Abort framework — full build</t>
        </is>
      </c>
      <c r="C13" s="30" t="inlineStr">
        <is>
          <t>ALREADY EXISTS — R38 §2 built out: suspend vs abort, asymmetric authority, four domain thresholds.</t>
        </is>
      </c>
      <c r="D13" s="20" t="inlineStr">
        <is>
          <t>existing</t>
        </is>
      </c>
      <c r="E13" s="20" t="inlineStr">
        <is>
          <t>R38 §2</t>
        </is>
      </c>
      <c r="F13" s="20" t="inlineStr">
        <is>
          <t>—</t>
        </is>
      </c>
    </row>
    <row r="14">
      <c r="A14" s="20" t="inlineStr">
        <is>
          <t>G12</t>
        </is>
      </c>
      <c r="B14" s="30" t="inlineStr">
        <is>
          <t>R38 §2 domain gap — FAMILY + HOME-SIDE columns</t>
        </is>
      </c>
      <c r="C14" s="30" t="inlineStr">
        <is>
          <t>Existing framework has 4 domains (Medical/Mechanical/Security/Financial). Family and Home-Side missing.</t>
        </is>
      </c>
      <c r="D14" s="20" t="inlineStr">
        <is>
          <t>NEW</t>
        </is>
      </c>
      <c r="E14" s="20" t="inlineStr">
        <is>
          <t>OI-95</t>
        </is>
      </c>
      <c r="F14" s="20" t="inlineStr">
        <is>
          <t>MODERATE</t>
        </is>
      </c>
    </row>
    <row r="15">
      <c r="A15" s="20" t="inlineStr">
        <is>
          <t>G12</t>
        </is>
      </c>
      <c r="B15" s="30" t="inlineStr">
        <is>
          <t>Cost-overrun threshold / financial abort</t>
        </is>
      </c>
      <c r="C15" s="30" t="inlineStr">
        <is>
          <t>R38 §2 financial row exists ("funds genuinely exhausted"). No numeric threshold but doctrine present.</t>
        </is>
      </c>
      <c r="D15" s="20" t="inlineStr">
        <is>
          <t>existing</t>
        </is>
      </c>
      <c r="E15" s="20" t="inlineStr">
        <is>
          <t>R38 §2</t>
        </is>
      </c>
      <c r="F15" s="20" t="inlineStr">
        <is>
          <t>—</t>
        </is>
      </c>
    </row>
    <row r="16">
      <c r="A16" s="20" t="inlineStr">
        <is>
          <t>—</t>
        </is>
      </c>
      <c r="B16" s="30" t="inlineStr">
        <is>
          <t>R10 §9 drill — end-to-end cold rehearsal (owner-approved)</t>
        </is>
      </c>
      <c r="C16" s="30" t="inlineStr">
        <is>
          <t>Device tests (OI-3/18/RA-10) do not test the drill as procedure. Owner approved 30 Jul 2026.</t>
        </is>
      </c>
      <c r="D16" s="20" t="inlineStr">
        <is>
          <t>NEW</t>
        </is>
      </c>
      <c r="E16" s="20" t="inlineStr">
        <is>
          <t>OI-88</t>
        </is>
      </c>
      <c r="F16" s="20" t="inlineStr">
        <is>
          <t>MODERATE</t>
        </is>
      </c>
    </row>
    <row r="17">
      <c r="A17" s="20" t="inlineStr">
        <is>
          <t>—</t>
        </is>
      </c>
      <c r="B17" s="30" t="inlineStr">
        <is>
          <t>R10 §9 drill — R38 §1 anchor brief (owner-approved)</t>
        </is>
      </c>
      <c r="C17" s="30" t="inlineStr">
        <is>
          <t>R38 §1 names anchor + backup; never briefed on receiving-end script. Owner approved 30 Jul 2026.</t>
        </is>
      </c>
      <c r="D17" s="20" t="inlineStr">
        <is>
          <t>NEW</t>
        </is>
      </c>
      <c r="E17" s="20" t="inlineStr">
        <is>
          <t>OI-89</t>
        </is>
      </c>
      <c r="F17" s="20" t="inlineStr">
        <is>
          <t>MODERATE</t>
        </is>
      </c>
    </row>
    <row r="18">
      <c r="A18" s="20" t="inlineStr">
        <is>
          <t>—</t>
        </is>
      </c>
      <c r="B18" s="30" t="inlineStr">
        <is>
          <t>TALLY</t>
        </is>
      </c>
      <c r="C18" s="30" t="inlineStr">
        <is>
          <t>8 genuine new items (2 SIGNIFICANT, 6 MODERATE); 59→67 open; next free OI-96. HONEST FINDING: R38 §2/§5/§6 cover more than the S8 proposal assumed — the 8 items are the residual genuinely-untracked gaps, not the full class.</t>
        </is>
      </c>
      <c r="D18" s="20" t="n"/>
      <c r="E18" s="20" t="n"/>
      <c r="F18" s="2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2026-06-18T16:34:08Z</dcterms:created>
  <dcterms:modified xmlns:dcterms="http://purl.org/dc/terms/" xmlns:xsi="http://www.w3.org/2001/XMLSchema-instance" xsi:type="dcterms:W3CDTF">2026-09-24T18:56:57Z</dcterms:modified>
  <cp:revision>0</cp:revision>
</cp:coreProperties>
</file>