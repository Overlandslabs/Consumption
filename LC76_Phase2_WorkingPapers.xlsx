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ummary" sheetId="1" state="visible" r:id="rId1"/>
    <sheet xmlns:r="http://schemas.openxmlformats.org/officeDocument/2006/relationships" name="Population" sheetId="2" state="visible" r:id="rId2"/>
    <sheet xmlns:r="http://schemas.openxmlformats.org/officeDocument/2006/relationships" name="Concordance" sheetId="3" state="visible" r:id="rId3"/>
    <sheet xmlns:r="http://schemas.openxmlformats.org/officeDocument/2006/relationships" name="TA_Register" sheetId="4" state="visible" r:id="rId4"/>
    <sheet xmlns:r="http://schemas.openxmlformats.org/officeDocument/2006/relationships" name="LX_Register" sheetId="5" state="visible" r:id="rId5"/>
    <sheet xmlns:r="http://schemas.openxmlformats.org/officeDocument/2006/relationships" name="Evidence" sheetId="6" state="visible" r:id="rId6"/>
  </sheets>
  <definedNames/>
  <calcPr calcId="124519" fullCalcOnLoad="1" refMode="A1" iterate="0" iterateCount="100" iterateDelta="0.0001"/>
</workbook>
</file>

<file path=xl/styles.xml><?xml version="1.0" encoding="utf-8"?>
<styleSheet xmlns="http://schemas.openxmlformats.org/spreadsheetml/2006/main">
  <numFmts count="0"/>
  <fonts count="17">
    <font>
      <name val="Calibri"/>
      <charset val="1"/>
      <family val="2"/>
      <color theme="1"/>
      <sz val="11"/>
    </font>
    <font>
      <name val="Arial"/>
      <family val="0"/>
      <sz val="10"/>
    </font>
    <font>
      <name val="Arial"/>
      <family val="0"/>
      <sz val="10"/>
    </font>
    <font>
      <name val="Arial"/>
      <family val="0"/>
      <sz val="10"/>
    </font>
    <font>
      <name val="Arial"/>
      <charset val="1"/>
      <family val="0"/>
      <b val="1"/>
      <color rgb="FF1C1410"/>
      <sz val="14"/>
    </font>
    <font>
      <name val="Arial"/>
      <charset val="1"/>
      <family val="0"/>
      <i val="1"/>
      <color rgb="FF555555"/>
      <sz val="9"/>
    </font>
    <font>
      <name val="Arial"/>
      <charset val="1"/>
      <family val="0"/>
      <sz val="10"/>
    </font>
    <font>
      <name val="Arial"/>
      <charset val="1"/>
      <family val="0"/>
      <b val="1"/>
      <sz val="10"/>
    </font>
    <font>
      <name val="Arial"/>
      <charset val="1"/>
      <family val="0"/>
      <b val="1"/>
      <color rgb="FF059669"/>
      <sz val="11"/>
    </font>
    <font>
      <name val="Arial"/>
      <charset val="1"/>
      <family val="0"/>
      <b val="1"/>
      <color rgb="FFFFFFFF"/>
      <sz val="10"/>
    </font>
    <font>
      <name val="Arial"/>
      <charset val="1"/>
      <family val="0"/>
      <color rgb="FF059669"/>
      <sz val="11"/>
    </font>
    <font>
      <name val="Arial"/>
      <charset val="1"/>
      <family val="0"/>
      <b val="1"/>
      <color rgb="FFB91C1C"/>
      <sz val="11"/>
    </font>
    <font>
      <name val="Arial"/>
      <charset val="1"/>
      <family val="0"/>
      <b val="1"/>
      <color rgb="FFC05A00"/>
      <sz val="11"/>
    </font>
    <font>
      <name val="Arial"/>
      <charset val="1"/>
      <family val="0"/>
      <b val="1"/>
      <color rgb="FF6A7080"/>
      <sz val="11"/>
    </font>
    <font>
      <name val="Arial"/>
      <b val="1"/>
      <color rgb="00B91C1C"/>
    </font>
    <font>
      <name val="Arial"/>
      <b val="1"/>
      <color rgb="00059669"/>
    </font>
    <font>
      <name val="Arial"/>
      <b val="1"/>
      <color rgb="00C05A00"/>
    </font>
  </fonts>
  <fills count="4">
    <fill>
      <patternFill/>
    </fill>
    <fill>
      <patternFill patternType="gray125"/>
    </fill>
    <fill>
      <patternFill patternType="solid">
        <fgColor rgb="FFF5EDDA"/>
        <bgColor rgb="FFFFFFFF"/>
      </patternFill>
    </fill>
    <fill>
      <patternFill patternType="solid">
        <fgColor rgb="FF2A2F3A"/>
        <bgColor rgb="FF1C1410"/>
      </patternFill>
    </fill>
  </fills>
  <borders count="2">
    <border>
      <left/>
      <right/>
      <top/>
      <bottom/>
      <diagonal/>
    </border>
    <border>
      <left style="thin">
        <color rgb="FFC8BFAD"/>
      </left>
      <right style="thin">
        <color rgb="FFC8BFAD"/>
      </right>
      <top style="thin">
        <color rgb="FFC8BFAD"/>
      </top>
      <bottom style="thin">
        <color rgb="FFC8BFAD"/>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0" borderId="0" applyAlignment="1" pivotButton="0" quotePrefix="0" xfId="0">
      <alignment horizontal="general" vertical="bottom"/>
    </xf>
    <xf numFmtId="0" fontId="0"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3" borderId="0" applyAlignment="1" pivotButton="0" quotePrefix="0" xfId="0">
      <alignment horizontal="general" vertical="center" wrapText="1"/>
    </xf>
    <xf numFmtId="0" fontId="6"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1" fillId="0" borderId="1" applyAlignment="1" pivotButton="0" quotePrefix="0" xfId="0">
      <alignment horizontal="general" vertical="top" wrapText="1"/>
    </xf>
    <xf numFmtId="0" fontId="12" fillId="0" borderId="1" applyAlignment="1" pivotButton="0" quotePrefix="0" xfId="0">
      <alignment horizontal="general" vertical="top" wrapText="1"/>
    </xf>
    <xf numFmtId="0" fontId="8" fillId="0" borderId="1" applyAlignment="1" pivotButton="0" quotePrefix="0" xfId="0">
      <alignment horizontal="general" vertical="top" wrapText="1"/>
    </xf>
    <xf numFmtId="0" fontId="13" fillId="0" borderId="1" applyAlignment="1" pivotButton="0" quotePrefix="0" xfId="0">
      <alignment horizontal="general" vertical="top" wrapText="1"/>
    </xf>
    <xf numFmtId="0" fontId="12" fillId="0" borderId="0" applyAlignment="1" pivotButton="0" quotePrefix="0" xfId="0">
      <alignment horizontal="general" vertical="bottom"/>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0" borderId="0" applyAlignment="1" pivotButton="0" quotePrefix="0" xfId="0">
      <alignment horizontal="general" vertical="bottom"/>
    </xf>
    <xf numFmtId="0" fontId="0" fillId="0" borderId="0" applyAlignment="1" pivotButton="0" quotePrefix="0" xfId="0">
      <alignment horizontal="general" vertical="top" wrapText="1"/>
    </xf>
    <xf numFmtId="0" fontId="15" fillId="0" borderId="0" pivotButton="0" quotePrefix="0" xfId="0"/>
    <xf numFmtId="0" fontId="0" fillId="0" borderId="0" applyAlignment="1" pivotButton="0" quotePrefix="0" xfId="0">
      <alignment vertical="top" wrapText="1"/>
    </xf>
    <xf numFmtId="0" fontId="9" fillId="3" borderId="0" applyAlignment="1" pivotButton="0" quotePrefix="0" xfId="0">
      <alignment horizontal="general" vertical="center" wrapText="1"/>
    </xf>
    <xf numFmtId="0" fontId="6" fillId="0" borderId="1" applyAlignment="1" pivotButton="0" quotePrefix="0" xfId="0">
      <alignment horizontal="general" vertical="top" wrapText="1"/>
    </xf>
    <xf numFmtId="0" fontId="10" fillId="0" borderId="1" applyAlignment="1" pivotButton="0" quotePrefix="0" xfId="0">
      <alignment horizontal="general" vertical="top" wrapText="1"/>
    </xf>
    <xf numFmtId="0" fontId="11" fillId="0" borderId="1" applyAlignment="1" pivotButton="0" quotePrefix="0" xfId="0">
      <alignment horizontal="general" vertical="top" wrapText="1"/>
    </xf>
    <xf numFmtId="0" fontId="12" fillId="0" borderId="1" applyAlignment="1" pivotButton="0" quotePrefix="0" xfId="0">
      <alignment horizontal="general" vertical="top" wrapText="1"/>
    </xf>
    <xf numFmtId="0" fontId="8" fillId="0" borderId="1" applyAlignment="1" pivotButton="0" quotePrefix="0" xfId="0">
      <alignment horizontal="general" vertical="top" wrapText="1"/>
    </xf>
    <xf numFmtId="0" fontId="13" fillId="0" borderId="1" applyAlignment="1" pivotButton="0" quotePrefix="0" xfId="0">
      <alignment horizontal="general" vertical="top" wrapText="1"/>
    </xf>
    <xf numFmtId="0" fontId="12" fillId="0" borderId="0" applyAlignment="1" pivotButton="0" quotePrefix="0" xfId="0">
      <alignment horizontal="general" vertical="bottom"/>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14" fillId="0" borderId="0" pivotButton="0" quotePrefix="0" xfId="0"/>
    <xf numFmtId="0" fontId="16"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59669"/>
      <rgbColor rgb="FFC8BFAD"/>
      <rgbColor rgb="FF808080"/>
      <rgbColor rgb="FF9999FF"/>
      <rgbColor rgb="FF993366"/>
      <rgbColor rgb="FFF5EDD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C05A00"/>
      <rgbColor rgb="FF6A7080"/>
      <rgbColor rgb="FF969696"/>
      <rgbColor rgb="FF003366"/>
      <rgbColor rgb="FF339966"/>
      <rgbColor rgb="FF003300"/>
      <rgbColor rgb="FF1C1410"/>
      <rgbColor rgb="FFB91C1C"/>
      <rgbColor rgb="FF993366"/>
      <rgbColor rgb="FF555555"/>
      <rgbColor rgb="FF2A2F3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4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6" customWidth="1" style="20" min="1" max="1"/>
    <col width="78" customWidth="1" style="20" min="2" max="2"/>
  </cols>
  <sheetData>
    <row r="1" ht="17.25" customHeight="1" s="21">
      <c r="A1" s="22" t="inlineStr">
        <is>
          <t>LC76 OVERLAND REFERENCE LIBRARY — PHASE 2 WORKING PAPERS</t>
        </is>
      </c>
    </row>
    <row r="2" ht="15" customHeight="1" s="21">
      <c r="A2" s="23" t="inlineStr">
        <is>
          <t>Technical-accuracy &amp; layout/print/mobile conformance review · Step 0 (control environment) deliverable</t>
        </is>
      </c>
    </row>
    <row r="4" ht="15" customHeight="1" s="21">
      <c r="B4" s="24" t="n"/>
    </row>
    <row r="5" ht="15" customHeight="1" s="21">
      <c r="A5" s="25" t="inlineStr">
        <is>
          <t>Phase opened</t>
        </is>
      </c>
      <c r="B5" s="24" t="inlineStr">
        <is>
          <t>18 June 2026</t>
        </is>
      </c>
    </row>
    <row r="6" ht="23.25" customHeight="1" s="21">
      <c r="A6" s="25" t="inlineStr">
        <is>
          <t>Scope this phase</t>
        </is>
      </c>
      <c r="B6" s="24" t="inlineStr">
        <is>
          <t>Technical accuracy + layout conformance. Currency re-verification (comms / border-fee-fuel) DEFERRED. Electrical set R5/R6/R7/R26/R32/R33 DEFERRED to ~2027 LiFePO4 rebuild.</t>
        </is>
      </c>
    </row>
    <row r="7" ht="23.25" customHeight="1" s="21">
      <c r="A7" s="25" t="inlineStr">
        <is>
          <t>Source of truth</t>
        </is>
      </c>
      <c r="B7" s="24" t="inlineStr">
        <is>
          <t>Live GitHub repo (raw.githubusercontent.com/Overlandslabs/Consumption/main). Tier-1 specs: FSM RM617E (engine) + RM730E via toyotamanuals.gitlab.io (chassis) + vendor datasheets.</t>
        </is>
      </c>
    </row>
    <row r="8" ht="15" customHeight="1" s="21">
      <c r="B8" s="24" t="n"/>
    </row>
    <row r="9" ht="15" customHeight="1" s="21">
      <c r="A9" s="26" t="inlineStr">
        <is>
          <t>POPULATION</t>
        </is>
      </c>
      <c r="B9" s="24" t="inlineStr">
        <is>
          <t>count</t>
        </is>
      </c>
    </row>
    <row r="10" ht="15" customHeight="1" s="21">
      <c r="A10" s="25" t="inlineStr">
        <is>
          <t>Content docs — technical-accuracy in scope</t>
        </is>
      </c>
      <c r="B10" s="24">
        <f>COUNTIF(Population!F:F,"In")</f>
        <v/>
      </c>
    </row>
    <row r="11" ht="15" customHeight="1" s="21">
      <c r="A11" s="25" t="inlineStr">
        <is>
          <t>Content docs — ethos (light: citations + layout)</t>
        </is>
      </c>
      <c r="B11" s="24">
        <f>COUNTIF(Population!F:F,"In-light")</f>
        <v/>
      </c>
    </row>
    <row r="12" ht="15" customHeight="1" s="21">
      <c r="A12" s="25" t="inlineStr">
        <is>
          <t>Deferred this phase (electrical / fast-moving)</t>
        </is>
      </c>
      <c r="B12" s="24">
        <f>COUNTIF(Population!F:F,"Deferred")+COUNTIF(Population!F:F,"Out-phase")</f>
        <v/>
      </c>
    </row>
    <row r="13" ht="15" customHeight="1" s="21">
      <c r="A13" s="25" t="inlineStr">
        <is>
          <t>Standards / structural files</t>
        </is>
      </c>
      <c r="B13" s="24">
        <f>COUNTIF(Population!F:F,"Standard")</f>
        <v/>
      </c>
    </row>
    <row r="14" ht="15" customHeight="1" s="21">
      <c r="A14" s="25" t="inlineStr">
        <is>
          <t>Files fetched live &amp; verified present (HTTP 200)</t>
        </is>
      </c>
      <c r="B14" s="24">
        <f>COUNTIF(Population!I:I,200)</f>
        <v/>
      </c>
    </row>
    <row r="15" ht="15" customHeight="1" s="21">
      <c r="B15" s="24" t="n"/>
    </row>
    <row r="16" ht="15" customHeight="1" s="21">
      <c r="A16" s="26" t="inlineStr">
        <is>
          <t>FINDINGS</t>
        </is>
      </c>
      <c r="B16" s="24" t="inlineStr">
        <is>
          <t>count</t>
        </is>
      </c>
    </row>
    <row r="17" ht="15" customHeight="1" s="21">
      <c r="A17" s="25" t="inlineStr">
        <is>
          <t>Technical-accuracy findings — open</t>
        </is>
      </c>
      <c r="B17" s="24">
        <f>COUNTIFS(TA_Register!L:L,"Open")</f>
        <v/>
      </c>
    </row>
    <row r="18" ht="15" customHeight="1" s="21">
      <c r="A18" s="25" t="inlineStr">
        <is>
          <t xml:space="preserve">  of which High / safety-critical</t>
        </is>
      </c>
      <c r="B18" s="24">
        <f>COUNTIFS(TA_Register!F:F,"HIGH")+COUNTIFS(TA_Register!F:F,"S")</f>
        <v/>
      </c>
    </row>
    <row r="19" ht="15" customHeight="1" s="21">
      <c r="A19" s="25" t="inlineStr">
        <is>
          <t>Technical-accuracy — confirmed/closed</t>
        </is>
      </c>
      <c r="B19" s="24">
        <f>COUNTIF(TA_Register!L:L,"Closed")</f>
        <v/>
      </c>
    </row>
    <row r="20" ht="15" customHeight="1" s="21">
      <c r="A20" s="25" t="inlineStr">
        <is>
          <t>Layout findings — open</t>
        </is>
      </c>
      <c r="B20" s="24">
        <f>COUNTIF(LX_Register!H:H,"Open")</f>
        <v/>
      </c>
    </row>
    <row r="21" ht="15" customHeight="1" s="21">
      <c r="B21" s="24" t="n"/>
    </row>
    <row r="22" ht="23.25" customHeight="1" s="21">
      <c r="A22" s="26" t="inlineStr">
        <is>
          <t>STEP 0 STATUS</t>
        </is>
      </c>
      <c r="B22" s="24" t="inlineStr">
        <is>
          <t>Complete — control environment established; Facts.txt locked; 49 files concordance-checked; Design Guidelines (F13) assessed.</t>
        </is>
      </c>
    </row>
    <row r="23" ht="23.25" customHeight="1" s="21">
      <c r="A23" s="25" t="inlineStr">
        <is>
          <t>Carried from Phase 1</t>
        </is>
      </c>
      <c r="B23" s="24" t="inlineStr">
        <is>
          <t>F10 (weighbridge) open=TA-002 · F13 (DG v1.2 + sticky-bg)=LX-001/002 · F17 (template) CLOSED (now 200).</t>
        </is>
      </c>
    </row>
    <row r="24" ht="15" customHeight="1" s="21">
      <c r="A24" s="25" t="inlineStr">
        <is>
          <t>Next</t>
        </is>
      </c>
      <c r="B24" s="24" t="inlineStr">
        <is>
          <t>Tranche 1 — calculators (formula/coefficient audit). R4 &amp; R8 get dedicated sessions.</t>
        </is>
      </c>
    </row>
    <row r="25" ht="15" customHeight="1" s="21">
      <c r="B25" s="24" t="n"/>
    </row>
    <row r="26" ht="15" customHeight="1" s="21">
      <c r="A26" s="26" t="inlineStr">
        <is>
          <t>SIGN-OFF</t>
        </is>
      </c>
      <c r="B26" s="24" t="n"/>
    </row>
    <row r="27" ht="15" customHeight="1" s="21">
      <c r="A27" s="25" t="inlineStr">
        <is>
          <t>Reviewer (Claude / Opus)</t>
        </is>
      </c>
      <c r="B27" s="24" t="inlineStr">
        <is>
          <t>Step 0 executed 18 Jun 2026</t>
        </is>
      </c>
    </row>
    <row r="28" ht="15" customHeight="1" s="21">
      <c r="A28" s="25" t="inlineStr">
        <is>
          <t>Owner acceptance (Neil)</t>
        </is>
      </c>
      <c r="B28" s="24" t="inlineStr">
        <is>
          <t>__________________________</t>
        </is>
      </c>
    </row>
    <row r="30" ht="41.25" customHeight="1" s="21">
      <c r="A30" s="27" t="inlineStr">
        <is>
          <t>TRANCHE 1 — COMPLETE</t>
        </is>
      </c>
      <c r="B30" s="28" t="inlineStr">
        <is>
          <t>All 6 calculators audited. Stream A (formula/accuracy): ALL SOUND — only advisory findings (TA-007/008/009/010), no safety or arithmetic defect. Stream B (layout): JS/div/print/overflow all pass; 2 consistency findings — LX-006 (Tyre Pressure on Pattern-A palette vs Pattern-B siblings), LX-007 (home-pill inconsistent). On-device print/mobile render sign-off remains owner's.</t>
        </is>
      </c>
    </row>
    <row r="32" ht="41.25" customHeight="1" s="21">
      <c r="A32" s="27" t="inlineStr">
        <is>
          <t>TRANCHE 2 — COMPLETE</t>
        </is>
      </c>
      <c r="B32" s="28" t="inlineStr">
        <is>
          <t>Life-safety set fully audited (R34, R17, R10, R36, R9, R35). Result: ONE material finding — TA-017 (R10 missing CPR/choking/anaphylaxis/drowning protocols + 2 broken index cross-refs). All other safety content confirmed sound vs recognised authorities (Toyota/FMVSS, CDC/WHO, ASI, field-guide doctrine, recovery &amp; fire standards). R34 brake-page Tier-1 deep-link still pending. NEXT: Tranche 3 — powertrain (FSM engine page-index + RM730E chassis).</t>
        </is>
      </c>
    </row>
    <row r="33" ht="95.5" customHeight="1" s="21">
      <c r="A33" s="27" t="inlineStr">
        <is>
          <t>TRANCHE 3 — IN PROGRESS</t>
        </is>
      </c>
      <c r="B33" s="28" t="inlineStr">
        <is>
          <t>Quick-win batch cleared 21 Jun 2026: TA-018 closed (xlsx re-tied to R8: 314 records / R810,872.32; R24 checked, no defect — same pattern as R22). TA-006 closed (R25 stale base re-keyed to canonical 310,000 / ~89,000, fit-event mileage preserved). Remaining open in Tranche 3: TA-001 (R4, shim-type correction — needs dedicated session, 226KB file), TA-003/TA-004 (R8 current-odo refs, deferred to T4 dedicated pass), TA-002 (weighbridge-gated, owner action). Next: continue powertrain cluster (R18, R21, R22, R13, R14, R19, R20, R27, R3).</t>
        </is>
      </c>
    </row>
    <row r="34">
      <c r="A34" s="29" t="inlineStr">
        <is>
          <t>TRANCHE 3 — cluster batch</t>
        </is>
      </c>
      <c r="B34" s="30" t="inlineStr">
        <is>
          <t>21 Jun 2026: TA-020 (R18, 3 spots), TA-021 (R27 warn-box), TA-023 (R21 boost) — all closed. Common pattern: stale 'valve clearances no record / overdue' claims and pre-trip pump-rebuild recommendations propagated from before the Jun 2026 Udel overhaul. R20, R19, R13, R14 audited and clean (false positives from pattern scan: R20 'interference' is correct; R19 '1.0 bar' is tyre pressure not boost; R20 'shim' is trunnion not valve). TA-022 (R22 six 308,500 refs) deferred to T4 odometer batch with R8. TA-019 (R3 shim-vs-locknut) folds into R4 dedicated session (same defect family, both touched together).</t>
        </is>
      </c>
    </row>
    <row r="35">
      <c r="A35" s="42" t="inlineStr">
        <is>
          <t>TRANCHE 3 — R4 SCOPE EXPANDED</t>
        </is>
      </c>
      <c r="B35" s="30" t="inlineStr">
        <is>
          <t>21 Jun 2026: R4 scoping discovered the 1HZ-as-OHV defect propagates across SIX locations in R4 (TOC + Cylinder Head + Push Rods/Rocker + Valve Cover + Camshaft + cam-wear + spec table), not just the one card TA-001 originally identified. Logged as TA-024 (supersedes TA-001 single-card scope; TA-001 remains open as a sub-component). DEFERRED to dedicated R4 session per project convention for 80KB+ structural rebuilds. Handover brief prepared. Tranche 3 will close on completion of: TA-024 (R4 architecture), TA-002 (weighbridge, owner action), TA-022 (R22 — folds into T4 odometer batch with R8 TA-003/004).</t>
        </is>
      </c>
    </row>
    <row r="36">
      <c r="A36" s="42" t="inlineStr">
        <is>
          <t>TRANCHE 3 — R4 ARCHITECTURE CLOSED</t>
        </is>
      </c>
      <c r="B36" s="30" t="inlineStr">
        <is>
          <t>21 Jun 2026 (R4 dedicated session): TA-024 closed — 1HZ-as-OHV defect fully corrected in LC76_Engine_Training.html. 16 surgical edits: the brief's 7 targets (TOC, Cylinder Head, core card, Valve Cover, Camshaft body, cam-wear, spec table) PLUS 5 further OHV remnants found by full-file sweep (section-2 desc, core-card glyph, valve-cover loc-pill, camshaft comp-code, camshaft loc-pill) that would otherwise have left R4 self-contradictory. Also fixed wrong clearance values (now 0.15-0.25/0.35-0.45 mm cold) and lobe count (6-&gt;12). TA-001 closed (folded in: shim-type method correction). Validation: div 939/942 held, JS OK, OHV sweep clean. Tranche 3 remaining: TA-002 (weighbridge, owner action), TA-022 (R22 six odo refs, -&gt; T4 odometer batch with R8 TA-003/004).</t>
        </is>
      </c>
    </row>
    <row r="37">
      <c r="A37" s="42" t="inlineStr">
        <is>
          <t>TRANCHE 4 — ODOMETER BATCH (R22 / Checklist / R23)</t>
        </is>
      </c>
      <c r="B37" s="30" t="inlineStr">
        <is>
          <t>21 Jun 2026 (scope-b full refresh): TA-022 closed (R22, 3 current-odo → 310,412, events preserved). TA-029 closed (Checklist: turbo/flush → 86,006, valve item flipped to Udel-done, interval anchor 308,248 retained — owner-confirmed Udel≠routine service). R23 closed via TA-025/026/027/028: powertrain pre-trip verdicts conformed to Udel Jun 2026 (valves/injectors/pump done), exhaust-clearance spec corrected 0.30→0.35-0.45, timing-belt no-record contradiction corrected per ledger @273,023, fuel-filter housing marked done, Denso→Bosch; full odo/derived refresh 310,412/86,006/37,389/39,212/16,463/38,227. Totals: 57 surgical edits, div held (R22 295/295, Checklist 42/42, R23 235/235), JS OK, residual sweep clean, events preserved. Canonical corrected from pre-Udel 310,000/85,594. NEW TA-030 logged OPEN (R8 glow-plug mis-attributed to Udel — owner confirmed not done). Remaining T4: R8 dedicated session (TA-003/004 current-odo + turbo-km + TA-030 glow-plug, JSON-ledger byte-diff). TA-002 weighbridge owner action.</t>
        </is>
      </c>
    </row>
    <row r="38">
      <c r="A38" s="42" t="inlineStr">
        <is>
          <t>TRANCHE 4 — GLOW/TANK CORRECTION (live-ledger reversal)</t>
        </is>
      </c>
      <c r="B38" s="30" t="inlineStr">
        <is>
          <t>21 Jun 2026: full R8 embedded-ledger fetch (during R8 handover prep) overturned the earlier glow-plug call. Udel 19 Jun 2026 line 'Labour to recondition injectors (incl. glow plugs)' = glow plugs R&amp;R'd (no test/parts line → not re-tested/replaced); 'Remove, clean &amp; refit diesel tank — fuel-contamination remediation' = tank flush, the overhaul's root cause. Glow wording harmonised to 'tested Mar 2025 (DupDiesel); R&amp;R Jun 2026 (Udel), not re-tested' in R23 + Facts §2 (TA-030 revised → Open for R8 row; R8 session). Diesel-tank remediation added to R23 fuel section + Facts §2 (TA-031 closed). Lesson: pre-Udel /mnt/project ledger (289 rows) lacked the Udel rows; only the live R8 314-rec ledger carried the evidence — fetch-before-conclude.</t>
        </is>
      </c>
    </row>
    <row r="39">
      <c r="A39" s="42" t="inlineStr">
        <is>
          <t>TRANCHE 4 — R8 PASS CLOSED (odometer batch complete)</t>
        </is>
      </c>
      <c r="B39" s="30" t="inlineStr">
        <is>
          <t>21 Jun 2026 (R8 dedicated session): TA-003 + TA-004 + TA-030 closed. R8 reconciled via 11 surgical edits — 'Current Service Status' header 308,248-&gt;310,412; Last-Service tile -&gt; Udel 310,412/19-06-2026; turbo oil-feed/shaft-play 84,278-&gt;86,006, coolant-flush 84,094/~84,000-&gt;86,006, turbo drain-hose 36,499-&gt;38,227; glow L1043 cell+status &amp; L778 narrative harmonised to 'tested Mar 2025 (DupDiesel) / R&amp;R Jun 2026 (Udel), not re-tested'. Validation: div 223/223, JS OK, JSON service ledger BYTE-FOR-BYTE identical (314 records / R810,872 tie preserved), all event mileages (308,248/308,500) preserved, residual stale-figure sweep clean. Diesel-tank line confirmed already in R8 ledger (no summary block needed). T4 ODOMETER BATCH NOW CLOSED LIBRARY-WIDE (310,412/86,006 across R8/R22/R23/Checklist/Facts); monthly-odometer standing process takes over from next reading. Phase-2 remaining open: TA-002 (weighbridge, owner action). [Owner revision same day: Last-Service tile relabelled 'Last Routine Service' + reverted to 308,248/14-04; 'Current Service Status' header odo suffix dropped. TA-004 stays closed.]</t>
        </is>
      </c>
    </row>
    <row r="40">
      <c r="A40" s="42" t="inlineStr">
        <is>
          <t>TRANCHE 4 REMAINDER — SCOPED &amp; BRIEFED (not yet executed)</t>
        </is>
      </c>
      <c r="B40" s="30" t="inlineStr">
        <is>
          <t>21 Jun 2026: T4-remainder = service/prep cluster docs still un-audited = R1, R2, R11, R28, R31 (R8/R8s/R23 already closed). Live-scanned; handover brief written (LC76_T4_Remainder_Handover.md). NEW findings registered: TA-032 (R31 boost 0.5-&gt;0.6 bar) + TA-033 (R11/R28/R31 odo/turbo-km refresh). R1 payload ~551 + R11 payload section remain TA-002/F10 weighbridge-gated (already provisionally hedged). R2 effectively clean (CSS-alpha &amp; operational-glow false positives noted). Session split per &gt;80KB rule: A=R1+R2+R31 (small batch); B=R11 (84.8KB, weighbridge-gated); C=R28 (104KB). Execute via fetch-live + content-anchored edits.</t>
        </is>
      </c>
    </row>
    <row r="41">
      <c r="A41" s="27" t="inlineStr">
        <is>
          <t>T4-REMAINDER — COMPLETE</t>
        </is>
      </c>
      <c r="B41" s="28" t="inlineStr">
        <is>
          <t>R1/R2 audit-clean (no edits). R31: boost 0.5→0.6 bar ×4, recon-derived →86,006 ×3, intercooler →~260,000 ×3; owner upgrade decisions (exhaust→Done; boost-gauge/alternator/ARP/airbox→Not Required). R11: odo→310,412; payload provisional (TA-002). R28: odo→310,412; payload '~551'; '(Andrea)' removed; 583 bar-primary. TA-032 &amp; TA-033 CLOSED. TA-002 (weighbridge) remains the sole open TA. Follow-on: boost-figure library sweep initiated (R11 done; R1/R13/R19/R23/R24/R27 candidates) + incidental stale-figure findings logged (Concordance r32) pending owner decisions.</t>
        </is>
      </c>
    </row>
    <row r="42">
      <c r="A42" s="27" t="inlineStr">
        <is>
          <t>PASS A/B — §5 STEP 1 DONE (R1 + R13 + R34)</t>
        </is>
      </c>
      <c r="B42" s="28" t="inlineStr">
        <is>
          <t>22 Jun 2026: boost-add R1 + R13 (-&gt; 0.6 bar, bar-only); odo R34 masthead (-&gt; 310,412). TA-034 (boost-add) + TA-035 (odo/derived) FORMALISED — both Open (multi-session passes; close on full-sweep completion). Remaining boost-adds: R19/R23/R24/R27. Remaining odo/derived: R19/R20/R23/R27. Owner ruling 22 Jun: always bump edited-doc masthead date to session date. index.html 22 Jun (no-op); sw.js no bump. Open TAs now: TA-002, TA-034, TA-035.</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K5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 customWidth="1" style="20" min="1" max="1"/>
    <col width="46" customWidth="1" style="20" min="2" max="2"/>
    <col width="5" customWidth="1" style="20" min="3" max="3"/>
    <col width="11" customWidth="1" style="20" min="4" max="4"/>
    <col width="8" customWidth="1" style="20" min="5" max="5"/>
    <col width="11" customWidth="1" style="20" min="6" max="6"/>
    <col width="7" customWidth="1" style="20" min="7" max="7"/>
    <col width="26" customWidth="1" style="20" min="8" max="8"/>
    <col width="7" customWidth="1" style="20" min="9" max="9"/>
    <col width="9" customWidth="1" style="20" min="10" max="10"/>
    <col width="40" customWidth="1" style="20" min="11" max="11"/>
  </cols>
  <sheetData>
    <row r="1" ht="15" customHeight="1" s="21">
      <c r="A1" s="31" t="inlineStr">
        <is>
          <t>#</t>
        </is>
      </c>
      <c r="B1" s="31" t="inlineStr">
        <is>
          <t>File</t>
        </is>
      </c>
      <c r="C1" s="31" t="inlineStr">
        <is>
          <t>R#</t>
        </is>
      </c>
      <c r="D1" s="31" t="inlineStr">
        <is>
          <t>Family</t>
        </is>
      </c>
      <c r="E1" s="31" t="inlineStr">
        <is>
          <t>Pattern</t>
        </is>
      </c>
      <c r="F1" s="31" t="inlineStr">
        <is>
          <t>Scope</t>
        </is>
      </c>
      <c r="G1" s="31" t="inlineStr">
        <is>
          <t>Large?</t>
        </is>
      </c>
      <c r="H1" s="31" t="inlineStr">
        <is>
          <t>Tranche</t>
        </is>
      </c>
      <c r="I1" s="31" t="inlineStr">
        <is>
          <t>HTTP</t>
        </is>
      </c>
      <c r="J1" s="31" t="inlineStr">
        <is>
          <t>Bytes</t>
        </is>
      </c>
      <c r="K1" s="31" t="inlineStr">
        <is>
          <t>Notes</t>
        </is>
      </c>
    </row>
    <row r="2" ht="15" customHeight="1" s="21">
      <c r="A2" s="32" t="n">
        <v>1</v>
      </c>
      <c r="B2" s="32" t="inlineStr">
        <is>
          <t>LC76_Fuel_Range_Calculator.html</t>
        </is>
      </c>
      <c r="C2" s="32" t="n"/>
      <c r="D2" s="32" t="inlineStr">
        <is>
          <t>Calculator</t>
        </is>
      </c>
      <c r="E2" s="32" t="inlineStr">
        <is>
          <t>B</t>
        </is>
      </c>
      <c r="F2" s="32" t="inlineStr">
        <is>
          <t>In</t>
        </is>
      </c>
      <c r="G2" s="32" t="inlineStr">
        <is>
          <t>N</t>
        </is>
      </c>
      <c r="H2" s="32" t="inlineStr">
        <is>
          <t>T1</t>
        </is>
      </c>
      <c r="I2" s="32" t="n">
        <v>200</v>
      </c>
      <c r="J2" s="32" t="n">
        <v>45624</v>
      </c>
      <c r="K2" s="32" t="n"/>
    </row>
    <row r="3" ht="15" customHeight="1" s="21">
      <c r="A3" s="32" t="n">
        <v>2</v>
      </c>
      <c r="B3" s="32" t="inlineStr">
        <is>
          <t>LC76_Trip_Fuel_Planner.html</t>
        </is>
      </c>
      <c r="C3" s="32" t="n"/>
      <c r="D3" s="32" t="inlineStr">
        <is>
          <t>Calculator</t>
        </is>
      </c>
      <c r="E3" s="32" t="inlineStr">
        <is>
          <t>B</t>
        </is>
      </c>
      <c r="F3" s="32" t="inlineStr">
        <is>
          <t>In</t>
        </is>
      </c>
      <c r="G3" s="32" t="inlineStr">
        <is>
          <t>N</t>
        </is>
      </c>
      <c r="H3" s="32" t="inlineStr">
        <is>
          <t>T1</t>
        </is>
      </c>
      <c r="I3" s="32" t="n">
        <v>200</v>
      </c>
      <c r="J3" s="32" t="n">
        <v>38765</v>
      </c>
      <c r="K3" s="32" t="n"/>
    </row>
    <row r="4" ht="15" customHeight="1" s="21">
      <c r="A4" s="32" t="n">
        <v>3</v>
      </c>
      <c r="B4" s="32" t="inlineStr">
        <is>
          <t>LC76_Fuel_Log_Analyser.html</t>
        </is>
      </c>
      <c r="C4" s="32" t="n"/>
      <c r="D4" s="32" t="inlineStr">
        <is>
          <t>Calculator</t>
        </is>
      </c>
      <c r="E4" s="32" t="inlineStr">
        <is>
          <t>B</t>
        </is>
      </c>
      <c r="F4" s="32" t="inlineStr">
        <is>
          <t>In</t>
        </is>
      </c>
      <c r="G4" s="32" t="inlineStr">
        <is>
          <t>N</t>
        </is>
      </c>
      <c r="H4" s="32" t="inlineStr">
        <is>
          <t>T1</t>
        </is>
      </c>
      <c r="I4" s="32" t="n">
        <v>200</v>
      </c>
      <c r="J4" s="32" t="n">
        <v>56829</v>
      </c>
      <c r="K4" s="32" t="n"/>
    </row>
    <row r="5" ht="15" customHeight="1" s="21">
      <c r="A5" s="32" t="n">
        <v>4</v>
      </c>
      <c r="B5" s="32" t="inlineStr">
        <is>
          <t>LC76_Water_Budget_Calculator.html</t>
        </is>
      </c>
      <c r="C5" s="32" t="n"/>
      <c r="D5" s="32" t="inlineStr">
        <is>
          <t>Calculator</t>
        </is>
      </c>
      <c r="E5" s="32" t="inlineStr">
        <is>
          <t>B</t>
        </is>
      </c>
      <c r="F5" s="32" t="inlineStr">
        <is>
          <t>In</t>
        </is>
      </c>
      <c r="G5" s="32" t="inlineStr">
        <is>
          <t>N</t>
        </is>
      </c>
      <c r="H5" s="32" t="inlineStr">
        <is>
          <t>T1</t>
        </is>
      </c>
      <c r="I5" s="32" t="n">
        <v>200</v>
      </c>
      <c r="J5" s="32" t="n">
        <v>39126</v>
      </c>
      <c r="K5" s="32" t="n"/>
    </row>
    <row r="6" ht="34.5" customHeight="1" s="21">
      <c r="A6" s="32" t="n">
        <v>5</v>
      </c>
      <c r="B6" s="32" t="inlineStr">
        <is>
          <t>LC76_LiFePO4_Calculator.html</t>
        </is>
      </c>
      <c r="C6" s="32" t="n"/>
      <c r="D6" s="32" t="inlineStr">
        <is>
          <t>Calculator</t>
        </is>
      </c>
      <c r="E6" s="32" t="inlineStr">
        <is>
          <t>B</t>
        </is>
      </c>
      <c r="F6" s="32" t="inlineStr">
        <is>
          <t>In</t>
        </is>
      </c>
      <c r="G6" s="32" t="inlineStr">
        <is>
          <t>N</t>
        </is>
      </c>
      <c r="H6" s="32" t="inlineStr">
        <is>
          <t>T1 (subject overlaps deferred LiFePO4 sys — audit maths only)</t>
        </is>
      </c>
      <c r="I6" s="32" t="n">
        <v>200</v>
      </c>
      <c r="J6" s="32" t="n">
        <v>45103</v>
      </c>
      <c r="K6" s="32" t="n"/>
    </row>
    <row r="7" ht="15" customHeight="1" s="21">
      <c r="A7" s="32" t="n">
        <v>6</v>
      </c>
      <c r="B7" s="32" t="inlineStr">
        <is>
          <t>LC76_Tyre_Pressure_Calculator.html</t>
        </is>
      </c>
      <c r="C7" s="32" t="n"/>
      <c r="D7" s="32" t="inlineStr">
        <is>
          <t>Calculator</t>
        </is>
      </c>
      <c r="E7" s="32" t="inlineStr">
        <is>
          <t>B</t>
        </is>
      </c>
      <c r="F7" s="32" t="inlineStr">
        <is>
          <t>In</t>
        </is>
      </c>
      <c r="G7" s="32" t="inlineStr">
        <is>
          <t>N</t>
        </is>
      </c>
      <c r="H7" s="32" t="inlineStr">
        <is>
          <t>T1</t>
        </is>
      </c>
      <c r="I7" s="32" t="n">
        <v>200</v>
      </c>
      <c r="J7" s="32" t="n">
        <v>46216</v>
      </c>
      <c r="K7" s="32" t="n"/>
    </row>
    <row r="8" ht="15" customHeight="1" s="21">
      <c r="A8" s="32" t="n">
        <v>7</v>
      </c>
      <c r="B8" s="32" t="inlineStr">
        <is>
          <t>LC76_Overlanders_Manifesto.html</t>
        </is>
      </c>
      <c r="C8" s="32" t="n"/>
      <c r="D8" s="32" t="inlineStr">
        <is>
          <t>Ethos</t>
        </is>
      </c>
      <c r="E8" s="32" t="inlineStr">
        <is>
          <t>A</t>
        </is>
      </c>
      <c r="F8" s="32" t="inlineStr">
        <is>
          <t>In-light</t>
        </is>
      </c>
      <c r="G8" s="32" t="inlineStr">
        <is>
          <t>N</t>
        </is>
      </c>
      <c r="H8" s="32" t="inlineStr">
        <is>
          <t>T7</t>
        </is>
      </c>
      <c r="I8" s="32" t="n">
        <v>200</v>
      </c>
      <c r="J8" s="32" t="n">
        <v>46324</v>
      </c>
      <c r="K8" s="32" t="n"/>
    </row>
    <row r="9" ht="15" customHeight="1" s="21">
      <c r="A9" s="32" t="n">
        <v>8</v>
      </c>
      <c r="B9" s="32" t="inlineStr">
        <is>
          <t>LC76_Overlanders_Manifesto_Commentary.html</t>
        </is>
      </c>
      <c r="C9" s="32" t="n"/>
      <c r="D9" s="32" t="inlineStr">
        <is>
          <t>Ethos</t>
        </is>
      </c>
      <c r="E9" s="32" t="inlineStr">
        <is>
          <t>A</t>
        </is>
      </c>
      <c r="F9" s="32" t="inlineStr">
        <is>
          <t>In-light</t>
        </is>
      </c>
      <c r="G9" s="32" t="inlineStr">
        <is>
          <t>N</t>
        </is>
      </c>
      <c r="H9" s="32" t="inlineStr">
        <is>
          <t>T7</t>
        </is>
      </c>
      <c r="I9" s="32" t="n">
        <v>200</v>
      </c>
      <c r="J9" s="32" t="n">
        <v>78006</v>
      </c>
      <c r="K9" s="32" t="n"/>
    </row>
    <row r="10" ht="15" customHeight="1" s="21">
      <c r="A10" s="32" t="n">
        <v>9</v>
      </c>
      <c r="B10" s="32" t="inlineStr">
        <is>
          <t>LC76_Reference_Card.html</t>
        </is>
      </c>
      <c r="C10" s="32" t="inlineStr">
        <is>
          <t>R1</t>
        </is>
      </c>
      <c r="D10" s="32" t="inlineStr">
        <is>
          <t>Reference</t>
        </is>
      </c>
      <c r="E10" s="32" t="inlineStr">
        <is>
          <t>A</t>
        </is>
      </c>
      <c r="F10" s="32" t="inlineStr">
        <is>
          <t>In</t>
        </is>
      </c>
      <c r="G10" s="32" t="inlineStr">
        <is>
          <t>N</t>
        </is>
      </c>
      <c r="H10" s="32" t="inlineStr">
        <is>
          <t>T4</t>
        </is>
      </c>
      <c r="I10" s="32" t="n">
        <v>200</v>
      </c>
      <c r="J10" s="32" t="n">
        <v>29847</v>
      </c>
      <c r="K10" s="32" t="n"/>
    </row>
    <row r="11" ht="15" customHeight="1" s="21">
      <c r="A11" s="32" t="n">
        <v>10</v>
      </c>
      <c r="B11" s="32" t="inlineStr">
        <is>
          <t>LC76_Departure_Checklist.html</t>
        </is>
      </c>
      <c r="C11" s="32" t="inlineStr">
        <is>
          <t>R2</t>
        </is>
      </c>
      <c r="D11" s="32" t="inlineStr">
        <is>
          <t>Reference</t>
        </is>
      </c>
      <c r="E11" s="32" t="inlineStr">
        <is>
          <t>A</t>
        </is>
      </c>
      <c r="F11" s="32" t="inlineStr">
        <is>
          <t>In</t>
        </is>
      </c>
      <c r="G11" s="32" t="inlineStr">
        <is>
          <t>N</t>
        </is>
      </c>
      <c r="H11" s="32" t="inlineStr">
        <is>
          <t>T4</t>
        </is>
      </c>
      <c r="I11" s="32" t="n">
        <v>200</v>
      </c>
      <c r="J11" s="32" t="n">
        <v>56374</v>
      </c>
      <c r="K11" s="32" t="n"/>
    </row>
    <row r="12" ht="15" customHeight="1" s="21">
      <c r="A12" s="32" t="n">
        <v>11</v>
      </c>
      <c r="B12" s="32" t="inlineStr">
        <is>
          <t>LC76_Spares_Tools.html</t>
        </is>
      </c>
      <c r="C12" s="32" t="inlineStr">
        <is>
          <t>R3</t>
        </is>
      </c>
      <c r="D12" s="32" t="inlineStr">
        <is>
          <t>Reference</t>
        </is>
      </c>
      <c r="E12" s="32" t="inlineStr">
        <is>
          <t>A</t>
        </is>
      </c>
      <c r="F12" s="32" t="inlineStr">
        <is>
          <t>In</t>
        </is>
      </c>
      <c r="G12" s="32" t="inlineStr">
        <is>
          <t>N</t>
        </is>
      </c>
      <c r="H12" s="32" t="inlineStr">
        <is>
          <t>T3</t>
        </is>
      </c>
      <c r="I12" s="32" t="n">
        <v>200</v>
      </c>
      <c r="J12" s="32" t="n">
        <v>97473</v>
      </c>
      <c r="K12" s="32" t="n"/>
    </row>
    <row r="13" ht="15" customHeight="1" s="21">
      <c r="A13" s="32" t="n">
        <v>12</v>
      </c>
      <c r="B13" s="32" t="inlineStr">
        <is>
          <t>LC76_Engine_Training.html</t>
        </is>
      </c>
      <c r="C13" s="32" t="inlineStr">
        <is>
          <t>R4</t>
        </is>
      </c>
      <c r="D13" s="32" t="inlineStr">
        <is>
          <t>Reference</t>
        </is>
      </c>
      <c r="E13" s="32" t="inlineStr">
        <is>
          <t>A</t>
        </is>
      </c>
      <c r="F13" s="32" t="inlineStr">
        <is>
          <t>In</t>
        </is>
      </c>
      <c r="G13" s="32" t="inlineStr">
        <is>
          <t>Y</t>
        </is>
      </c>
      <c r="H13" s="32" t="inlineStr">
        <is>
          <t>T3 (dedicated)</t>
        </is>
      </c>
      <c r="I13" s="32" t="n">
        <v>200</v>
      </c>
      <c r="J13" s="32" t="n">
        <v>226350</v>
      </c>
      <c r="K13" s="32" t="n"/>
    </row>
    <row r="14" ht="23.25" customHeight="1" s="21">
      <c r="A14" s="32" t="n">
        <v>13</v>
      </c>
      <c r="B14" s="32" t="inlineStr">
        <is>
          <t>LC76_Battery_Training_Guide.html</t>
        </is>
      </c>
      <c r="C14" s="32" t="inlineStr">
        <is>
          <t>R5</t>
        </is>
      </c>
      <c r="D14" s="32" t="inlineStr">
        <is>
          <t>Reference</t>
        </is>
      </c>
      <c r="E14" s="32" t="inlineStr">
        <is>
          <t>A</t>
        </is>
      </c>
      <c r="F14" s="32" t="inlineStr">
        <is>
          <t>Deferred</t>
        </is>
      </c>
      <c r="G14" s="32" t="inlineStr">
        <is>
          <t>N</t>
        </is>
      </c>
      <c r="H14" s="32" t="inlineStr">
        <is>
          <t>— electrical</t>
        </is>
      </c>
      <c r="I14" s="32" t="inlineStr">
        <is>
          <t>not fetched</t>
        </is>
      </c>
      <c r="J14" s="32" t="n"/>
      <c r="K14" s="32" t="n"/>
    </row>
    <row r="15" ht="23.25" customHeight="1" s="21">
      <c r="A15" s="32" t="n">
        <v>14</v>
      </c>
      <c r="B15" s="32" t="inlineStr">
        <is>
          <t>LC76_Battery_Longevity_Report.html</t>
        </is>
      </c>
      <c r="C15" s="32" t="inlineStr">
        <is>
          <t>R6</t>
        </is>
      </c>
      <c r="D15" s="32" t="inlineStr">
        <is>
          <t>Reference</t>
        </is>
      </c>
      <c r="E15" s="32" t="inlineStr">
        <is>
          <t>A</t>
        </is>
      </c>
      <c r="F15" s="32" t="inlineStr">
        <is>
          <t>Deferred</t>
        </is>
      </c>
      <c r="G15" s="32" t="inlineStr">
        <is>
          <t>N</t>
        </is>
      </c>
      <c r="H15" s="32" t="inlineStr">
        <is>
          <t>— electrical</t>
        </is>
      </c>
      <c r="I15" s="32" t="inlineStr">
        <is>
          <t>not fetched</t>
        </is>
      </c>
      <c r="J15" s="32" t="n"/>
      <c r="K15" s="32" t="n"/>
    </row>
    <row r="16" ht="23.25" customHeight="1" s="21">
      <c r="A16" s="32" t="n">
        <v>15</v>
      </c>
      <c r="B16" s="32" t="inlineStr">
        <is>
          <t>LC76_LiFePO4_System_Report.html</t>
        </is>
      </c>
      <c r="C16" s="32" t="inlineStr">
        <is>
          <t>R7</t>
        </is>
      </c>
      <c r="D16" s="32" t="inlineStr">
        <is>
          <t>Reference</t>
        </is>
      </c>
      <c r="E16" s="32" t="inlineStr">
        <is>
          <t>A</t>
        </is>
      </c>
      <c r="F16" s="32" t="inlineStr">
        <is>
          <t>Deferred</t>
        </is>
      </c>
      <c r="G16" s="32" t="inlineStr">
        <is>
          <t>N</t>
        </is>
      </c>
      <c r="H16" s="32" t="inlineStr">
        <is>
          <t>— electrical</t>
        </is>
      </c>
      <c r="I16" s="32" t="inlineStr">
        <is>
          <t>not fetched</t>
        </is>
      </c>
      <c r="J16" s="32" t="n"/>
      <c r="K16" s="32" t="n"/>
    </row>
    <row r="17" ht="15" customHeight="1" s="21">
      <c r="A17" s="32" t="n">
        <v>16</v>
      </c>
      <c r="B17" s="32" t="inlineStr">
        <is>
          <t>LC76_Service_History.html</t>
        </is>
      </c>
      <c r="C17" s="32" t="inlineStr">
        <is>
          <t>R8</t>
        </is>
      </c>
      <c r="D17" s="32" t="inlineStr">
        <is>
          <t>Reference</t>
        </is>
      </c>
      <c r="E17" s="32" t="inlineStr">
        <is>
          <t>A</t>
        </is>
      </c>
      <c r="F17" s="32" t="inlineStr">
        <is>
          <t>In</t>
        </is>
      </c>
      <c r="G17" s="32" t="inlineStr">
        <is>
          <t>Y</t>
        </is>
      </c>
      <c r="H17" s="32" t="inlineStr">
        <is>
          <t>T4 (dedicated, ~146KB)</t>
        </is>
      </c>
      <c r="I17" s="32" t="n">
        <v>200</v>
      </c>
      <c r="J17" s="32" t="n">
        <v>155908</v>
      </c>
      <c r="K17" s="32" t="n"/>
    </row>
    <row r="18" ht="15" customHeight="1" s="21">
      <c r="A18" s="32" t="n">
        <v>17</v>
      </c>
      <c r="B18" s="32" t="inlineStr">
        <is>
          <t>LC76_Service_Checklist.html</t>
        </is>
      </c>
      <c r="C18" s="32" t="inlineStr">
        <is>
          <t>R8s</t>
        </is>
      </c>
      <c r="D18" s="32" t="inlineStr">
        <is>
          <t>Reference</t>
        </is>
      </c>
      <c r="E18" s="32" t="inlineStr">
        <is>
          <t>A</t>
        </is>
      </c>
      <c r="F18" s="32" t="inlineStr">
        <is>
          <t>In</t>
        </is>
      </c>
      <c r="G18" s="32" t="inlineStr">
        <is>
          <t>N</t>
        </is>
      </c>
      <c r="H18" s="32" t="inlineStr">
        <is>
          <t>T4</t>
        </is>
      </c>
      <c r="I18" s="32" t="n">
        <v>200</v>
      </c>
      <c r="J18" s="32" t="n">
        <v>49189</v>
      </c>
      <c r="K18" s="32" t="n"/>
    </row>
    <row r="19" ht="15" customHeight="1" s="21">
      <c r="A19" s="32" t="n">
        <v>18</v>
      </c>
      <c r="B19" s="32" t="inlineStr">
        <is>
          <t>LC76_Vehicle_Recovery_Guide.html</t>
        </is>
      </c>
      <c r="C19" s="32" t="inlineStr">
        <is>
          <t>R9</t>
        </is>
      </c>
      <c r="D19" s="32" t="inlineStr">
        <is>
          <t>Reference</t>
        </is>
      </c>
      <c r="E19" s="32" t="inlineStr">
        <is>
          <t>A</t>
        </is>
      </c>
      <c r="F19" s="32" t="inlineStr">
        <is>
          <t>In</t>
        </is>
      </c>
      <c r="G19" s="32" t="inlineStr">
        <is>
          <t>N</t>
        </is>
      </c>
      <c r="H19" s="32" t="inlineStr">
        <is>
          <t>T2</t>
        </is>
      </c>
      <c r="I19" s="32" t="n">
        <v>200</v>
      </c>
      <c r="J19" s="32" t="n">
        <v>43999</v>
      </c>
      <c r="K19" s="32" t="n"/>
    </row>
    <row r="20" ht="15" customHeight="1" s="21">
      <c r="A20" s="32" t="n">
        <v>19</v>
      </c>
      <c r="B20" s="32" t="inlineStr">
        <is>
          <t>LC76_Emergency_Procedures_Guide.html</t>
        </is>
      </c>
      <c r="C20" s="32" t="inlineStr">
        <is>
          <t>R10</t>
        </is>
      </c>
      <c r="D20" s="32" t="inlineStr">
        <is>
          <t>Reference</t>
        </is>
      </c>
      <c r="E20" s="32" t="inlineStr">
        <is>
          <t>A</t>
        </is>
      </c>
      <c r="F20" s="32" t="inlineStr">
        <is>
          <t>In</t>
        </is>
      </c>
      <c r="G20" s="32" t="inlineStr">
        <is>
          <t>N</t>
        </is>
      </c>
      <c r="H20" s="32" t="inlineStr">
        <is>
          <t>T2</t>
        </is>
      </c>
      <c r="I20" s="32" t="n">
        <v>200</v>
      </c>
      <c r="J20" s="32" t="n">
        <v>67593</v>
      </c>
      <c r="K20" s="32" t="n"/>
    </row>
    <row r="21" ht="15" customHeight="1" s="21">
      <c r="A21" s="32" t="n">
        <v>20</v>
      </c>
      <c r="B21" s="32" t="inlineStr">
        <is>
          <t>LC76_Packing_Optimisation_Guide.html</t>
        </is>
      </c>
      <c r="C21" s="32" t="inlineStr">
        <is>
          <t>R11</t>
        </is>
      </c>
      <c r="D21" s="32" t="inlineStr">
        <is>
          <t>Reference</t>
        </is>
      </c>
      <c r="E21" s="32" t="inlineStr">
        <is>
          <t>A</t>
        </is>
      </c>
      <c r="F21" s="32" t="inlineStr">
        <is>
          <t>In</t>
        </is>
      </c>
      <c r="G21" s="32" t="inlineStr">
        <is>
          <t>N</t>
        </is>
      </c>
      <c r="H21" s="32" t="inlineStr">
        <is>
          <t>T4 (F10-gated)</t>
        </is>
      </c>
      <c r="I21" s="32" t="n">
        <v>200</v>
      </c>
      <c r="J21" s="32" t="n">
        <v>90872</v>
      </c>
      <c r="K21" s="32" t="n"/>
    </row>
    <row r="22" ht="15" customHeight="1" s="21">
      <c r="A22" s="32" t="n">
        <v>21</v>
      </c>
      <c r="B22" s="32" t="inlineStr">
        <is>
          <t>LC76_Water_Management_Guide.html</t>
        </is>
      </c>
      <c r="C22" s="32" t="inlineStr">
        <is>
          <t>R12</t>
        </is>
      </c>
      <c r="D22" s="32" t="inlineStr">
        <is>
          <t>Reference</t>
        </is>
      </c>
      <c r="E22" s="32" t="inlineStr">
        <is>
          <t>A</t>
        </is>
      </c>
      <c r="F22" s="32" t="inlineStr">
        <is>
          <t>In</t>
        </is>
      </c>
      <c r="G22" s="32" t="inlineStr">
        <is>
          <t>N</t>
        </is>
      </c>
      <c r="H22" s="32" t="inlineStr">
        <is>
          <t>T3</t>
        </is>
      </c>
      <c r="I22" s="32" t="n">
        <v>200</v>
      </c>
      <c r="J22" s="32" t="n">
        <v>51883</v>
      </c>
      <c r="K22" s="32" t="n"/>
    </row>
    <row r="23" ht="15" customHeight="1" s="21">
      <c r="A23" s="32" t="n">
        <v>22</v>
      </c>
      <c r="B23" s="32" t="inlineStr">
        <is>
          <t>LC76_Drivetrain_Training_Guide.html</t>
        </is>
      </c>
      <c r="C23" s="32" t="inlineStr">
        <is>
          <t>R13</t>
        </is>
      </c>
      <c r="D23" s="32" t="inlineStr">
        <is>
          <t>Reference</t>
        </is>
      </c>
      <c r="E23" s="32" t="inlineStr">
        <is>
          <t>A</t>
        </is>
      </c>
      <c r="F23" s="32" t="inlineStr">
        <is>
          <t>In</t>
        </is>
      </c>
      <c r="G23" s="32" t="inlineStr">
        <is>
          <t>N</t>
        </is>
      </c>
      <c r="H23" s="32" t="inlineStr">
        <is>
          <t>T3</t>
        </is>
      </c>
      <c r="I23" s="32" t="n">
        <v>200</v>
      </c>
      <c r="J23" s="32" t="n">
        <v>58809</v>
      </c>
      <c r="K23" s="32" t="n"/>
    </row>
    <row r="24" ht="15" customHeight="1" s="21">
      <c r="A24" s="32" t="n">
        <v>23</v>
      </c>
      <c r="B24" s="32" t="inlineStr">
        <is>
          <t>LC76_Tyre_Management_Guide.html</t>
        </is>
      </c>
      <c r="C24" s="32" t="inlineStr">
        <is>
          <t>R14</t>
        </is>
      </c>
      <c r="D24" s="32" t="inlineStr">
        <is>
          <t>Reference</t>
        </is>
      </c>
      <c r="E24" s="32" t="inlineStr">
        <is>
          <t>A</t>
        </is>
      </c>
      <c r="F24" s="32" t="inlineStr">
        <is>
          <t>In</t>
        </is>
      </c>
      <c r="G24" s="32" t="inlineStr">
        <is>
          <t>N</t>
        </is>
      </c>
      <c r="H24" s="32" t="inlineStr">
        <is>
          <t>T3</t>
        </is>
      </c>
      <c r="I24" s="32" t="n">
        <v>200</v>
      </c>
      <c r="J24" s="32" t="n">
        <v>44282</v>
      </c>
      <c r="K24" s="32" t="n"/>
    </row>
    <row r="25" ht="15" customHeight="1" s="21">
      <c r="A25" s="32" t="n">
        <v>24</v>
      </c>
      <c r="B25" s="32" t="inlineStr">
        <is>
          <t>LC76_Border_Crossings_Guide.html</t>
        </is>
      </c>
      <c r="C25" s="32" t="inlineStr">
        <is>
          <t>R15</t>
        </is>
      </c>
      <c r="D25" s="32" t="inlineStr">
        <is>
          <t>Reference</t>
        </is>
      </c>
      <c r="E25" s="32" t="inlineStr">
        <is>
          <t>A</t>
        </is>
      </c>
      <c r="F25" s="32" t="inlineStr">
        <is>
          <t>In</t>
        </is>
      </c>
      <c r="G25" s="32" t="inlineStr">
        <is>
          <t>N</t>
        </is>
      </c>
      <c r="H25" s="32" t="inlineStr">
        <is>
          <t>T6 (currency-light)</t>
        </is>
      </c>
      <c r="I25" s="32" t="n">
        <v>200</v>
      </c>
      <c r="J25" s="32" t="n">
        <v>59126</v>
      </c>
      <c r="K25" s="32" t="n"/>
    </row>
    <row r="26" ht="15" customHeight="1" s="21">
      <c r="A26" s="32" t="n">
        <v>25</v>
      </c>
      <c r="B26" s="32" t="inlineStr">
        <is>
          <t>LC76_Comms_Navigation_Guide.html</t>
        </is>
      </c>
      <c r="C26" s="32" t="inlineStr">
        <is>
          <t>R16</t>
        </is>
      </c>
      <c r="D26" s="32" t="inlineStr">
        <is>
          <t>Reference</t>
        </is>
      </c>
      <c r="E26" s="32" t="inlineStr">
        <is>
          <t>A</t>
        </is>
      </c>
      <c r="F26" s="32" t="inlineStr">
        <is>
          <t>Out-phase</t>
        </is>
      </c>
      <c r="G26" s="32" t="inlineStr">
        <is>
          <t>N</t>
        </is>
      </c>
      <c r="H26" s="32" t="inlineStr">
        <is>
          <t>fast-moving; verified F7</t>
        </is>
      </c>
      <c r="I26" s="32" t="n">
        <v>200</v>
      </c>
      <c r="J26" s="32" t="n">
        <v>50108</v>
      </c>
      <c r="K26" s="32" t="n"/>
    </row>
    <row r="27" ht="15" customHeight="1" s="21">
      <c r="A27" s="32" t="n">
        <v>26</v>
      </c>
      <c r="B27" s="32" t="inlineStr">
        <is>
          <t>LC76_Health_Hygiene_Guide.html</t>
        </is>
      </c>
      <c r="C27" s="32" t="inlineStr">
        <is>
          <t>R17</t>
        </is>
      </c>
      <c r="D27" s="32" t="inlineStr">
        <is>
          <t>Reference</t>
        </is>
      </c>
      <c r="E27" s="32" t="inlineStr">
        <is>
          <t>A</t>
        </is>
      </c>
      <c r="F27" s="32" t="inlineStr">
        <is>
          <t>In</t>
        </is>
      </c>
      <c r="G27" s="32" t="inlineStr">
        <is>
          <t>N</t>
        </is>
      </c>
      <c r="H27" s="32" t="inlineStr">
        <is>
          <t>T2</t>
        </is>
      </c>
      <c r="I27" s="32" t="n">
        <v>200</v>
      </c>
      <c r="J27" s="32" t="n">
        <v>33705</v>
      </c>
      <c r="K27" s="32" t="n"/>
    </row>
    <row r="28" ht="15" customHeight="1" s="21">
      <c r="A28" s="32" t="n">
        <v>27</v>
      </c>
      <c r="B28" s="32" t="inlineStr">
        <is>
          <t>LC76_1HZ_Troubleshooting_Guide.html</t>
        </is>
      </c>
      <c r="C28" s="32" t="inlineStr">
        <is>
          <t>R18</t>
        </is>
      </c>
      <c r="D28" s="32" t="inlineStr">
        <is>
          <t>Reference</t>
        </is>
      </c>
      <c r="E28" s="32" t="inlineStr">
        <is>
          <t>A</t>
        </is>
      </c>
      <c r="F28" s="32" t="inlineStr">
        <is>
          <t>In</t>
        </is>
      </c>
      <c r="G28" s="32" t="inlineStr">
        <is>
          <t>N</t>
        </is>
      </c>
      <c r="H28" s="32" t="inlineStr">
        <is>
          <t>T3</t>
        </is>
      </c>
      <c r="I28" s="32" t="n">
        <v>200</v>
      </c>
      <c r="J28" s="32" t="n">
        <v>93774</v>
      </c>
      <c r="K28" s="32" t="n"/>
    </row>
    <row r="29" ht="15" customHeight="1" s="21">
      <c r="A29" s="32" t="n">
        <v>28</v>
      </c>
      <c r="B29" s="32" t="inlineStr">
        <is>
          <t>LC76_AT_Tyre_Review_R19.html</t>
        </is>
      </c>
      <c r="C29" s="32" t="inlineStr">
        <is>
          <t>R19</t>
        </is>
      </c>
      <c r="D29" s="32" t="inlineStr">
        <is>
          <t>Reference</t>
        </is>
      </c>
      <c r="E29" s="32" t="inlineStr">
        <is>
          <t>A</t>
        </is>
      </c>
      <c r="F29" s="32" t="inlineStr">
        <is>
          <t>In</t>
        </is>
      </c>
      <c r="G29" s="32" t="inlineStr">
        <is>
          <t>N</t>
        </is>
      </c>
      <c r="H29" s="32" t="inlineStr">
        <is>
          <t>T3</t>
        </is>
      </c>
      <c r="I29" s="32" t="n">
        <v>200</v>
      </c>
      <c r="J29" s="32" t="n">
        <v>96694</v>
      </c>
      <c r="K29" s="32" t="n"/>
    </row>
    <row r="30" ht="15" customHeight="1" s="21">
      <c r="A30" s="32" t="n">
        <v>29</v>
      </c>
      <c r="B30" s="32" t="inlineStr">
        <is>
          <t>LC76_Seal_Gasket_Atlas.html</t>
        </is>
      </c>
      <c r="C30" s="32" t="inlineStr">
        <is>
          <t>R20</t>
        </is>
      </c>
      <c r="D30" s="32" t="inlineStr">
        <is>
          <t>Reference</t>
        </is>
      </c>
      <c r="E30" s="32" t="inlineStr">
        <is>
          <t>A</t>
        </is>
      </c>
      <c r="F30" s="32" t="inlineStr">
        <is>
          <t>In</t>
        </is>
      </c>
      <c r="G30" s="32" t="inlineStr">
        <is>
          <t>N</t>
        </is>
      </c>
      <c r="H30" s="32" t="inlineStr">
        <is>
          <t>T3</t>
        </is>
      </c>
      <c r="I30" s="32" t="n">
        <v>200</v>
      </c>
      <c r="J30" s="32" t="n">
        <v>134650</v>
      </c>
      <c r="K30" s="32" t="n"/>
    </row>
    <row r="31" ht="15" customHeight="1" s="21">
      <c r="A31" s="32" t="n">
        <v>30</v>
      </c>
      <c r="B31" s="32" t="inlineStr">
        <is>
          <t>LC76_Turbo_Operations_Guide.html</t>
        </is>
      </c>
      <c r="C31" s="32" t="inlineStr">
        <is>
          <t>R21</t>
        </is>
      </c>
      <c r="D31" s="32" t="inlineStr">
        <is>
          <t>Reference</t>
        </is>
      </c>
      <c r="E31" s="32" t="inlineStr">
        <is>
          <t>A</t>
        </is>
      </c>
      <c r="F31" s="32" t="inlineStr">
        <is>
          <t>In</t>
        </is>
      </c>
      <c r="G31" s="32" t="inlineStr">
        <is>
          <t>N</t>
        </is>
      </c>
      <c r="H31" s="32" t="inlineStr">
        <is>
          <t>T3</t>
        </is>
      </c>
      <c r="I31" s="32" t="n">
        <v>200</v>
      </c>
      <c r="J31" s="32" t="n">
        <v>67341</v>
      </c>
      <c r="K31" s="32" t="n"/>
    </row>
    <row r="32" ht="15" customHeight="1" s="21">
      <c r="A32" s="32" t="n">
        <v>31</v>
      </c>
      <c r="B32" s="32" t="inlineStr">
        <is>
          <t>LC76_Cooling_System_Guide.html</t>
        </is>
      </c>
      <c r="C32" s="32" t="inlineStr">
        <is>
          <t>R22</t>
        </is>
      </c>
      <c r="D32" s="32" t="inlineStr">
        <is>
          <t>Reference</t>
        </is>
      </c>
      <c r="E32" s="32" t="inlineStr">
        <is>
          <t>A</t>
        </is>
      </c>
      <c r="F32" s="32" t="inlineStr">
        <is>
          <t>In</t>
        </is>
      </c>
      <c r="G32" s="32" t="inlineStr">
        <is>
          <t>N</t>
        </is>
      </c>
      <c r="H32" s="32" t="inlineStr">
        <is>
          <t>T3</t>
        </is>
      </c>
      <c r="I32" s="32" t="n">
        <v>200</v>
      </c>
      <c r="J32" s="32" t="n">
        <v>77459</v>
      </c>
      <c r="K32" s="32" t="n"/>
    </row>
    <row r="33" ht="15" customHeight="1" s="21">
      <c r="A33" s="32" t="n">
        <v>32</v>
      </c>
      <c r="B33" s="32" t="inlineStr">
        <is>
          <t>LC76_Pre_Trip_Prep_Protocol.html</t>
        </is>
      </c>
      <c r="C33" s="32" t="inlineStr">
        <is>
          <t>R23</t>
        </is>
      </c>
      <c r="D33" s="32" t="inlineStr">
        <is>
          <t>Reference</t>
        </is>
      </c>
      <c r="E33" s="32" t="inlineStr">
        <is>
          <t>A</t>
        </is>
      </c>
      <c r="F33" s="32" t="inlineStr">
        <is>
          <t>In</t>
        </is>
      </c>
      <c r="G33" s="32" t="inlineStr">
        <is>
          <t>N</t>
        </is>
      </c>
      <c r="H33" s="32" t="inlineStr">
        <is>
          <t>T4</t>
        </is>
      </c>
      <c r="I33" s="32" t="n">
        <v>200</v>
      </c>
      <c r="J33" s="32" t="n">
        <v>89808</v>
      </c>
      <c r="K33" s="32" t="n"/>
    </row>
    <row r="34" ht="15" customHeight="1" s="21">
      <c r="A34" s="32" t="n">
        <v>33</v>
      </c>
      <c r="B34" s="32" t="inlineStr">
        <is>
          <t>LC76_Fuel_System_Guide.html</t>
        </is>
      </c>
      <c r="C34" s="32" t="inlineStr">
        <is>
          <t>R24</t>
        </is>
      </c>
      <c r="D34" s="32" t="inlineStr">
        <is>
          <t>Reference</t>
        </is>
      </c>
      <c r="E34" s="32" t="inlineStr">
        <is>
          <t>A</t>
        </is>
      </c>
      <c r="F34" s="32" t="inlineStr">
        <is>
          <t>In</t>
        </is>
      </c>
      <c r="G34" s="32" t="inlineStr">
        <is>
          <t>N</t>
        </is>
      </c>
      <c r="H34" s="32" t="inlineStr">
        <is>
          <t>T3</t>
        </is>
      </c>
      <c r="I34" s="32" t="n">
        <v>200</v>
      </c>
      <c r="J34" s="32" t="n">
        <v>96449</v>
      </c>
      <c r="K34" s="32" t="n"/>
    </row>
    <row r="35" ht="15" customHeight="1" s="21">
      <c r="A35" s="32" t="n">
        <v>34</v>
      </c>
      <c r="B35" s="32" t="inlineStr">
        <is>
          <t>LC76_Suspension_Steering_Guide.html</t>
        </is>
      </c>
      <c r="C35" s="32" t="inlineStr">
        <is>
          <t>R25</t>
        </is>
      </c>
      <c r="D35" s="32" t="inlineStr">
        <is>
          <t>Reference</t>
        </is>
      </c>
      <c r="E35" s="32" t="inlineStr">
        <is>
          <t>A</t>
        </is>
      </c>
      <c r="F35" s="32" t="inlineStr">
        <is>
          <t>In</t>
        </is>
      </c>
      <c r="G35" s="32" t="inlineStr">
        <is>
          <t>N</t>
        </is>
      </c>
      <c r="H35" s="32" t="inlineStr">
        <is>
          <t>T3</t>
        </is>
      </c>
      <c r="I35" s="32" t="n">
        <v>200</v>
      </c>
      <c r="J35" s="32" t="n">
        <v>107274</v>
      </c>
      <c r="K35" s="32" t="n"/>
    </row>
    <row r="36" ht="23.25" customHeight="1" s="21">
      <c r="A36" s="32" t="n">
        <v>35</v>
      </c>
      <c r="B36" s="32" t="inlineStr">
        <is>
          <t>LC76_Electrical_Wiring_Guide.html</t>
        </is>
      </c>
      <c r="C36" s="32" t="inlineStr">
        <is>
          <t>R26</t>
        </is>
      </c>
      <c r="D36" s="32" t="inlineStr">
        <is>
          <t>Reference</t>
        </is>
      </c>
      <c r="E36" s="32" t="inlineStr">
        <is>
          <t>A</t>
        </is>
      </c>
      <c r="F36" s="32" t="inlineStr">
        <is>
          <t>Deferred</t>
        </is>
      </c>
      <c r="G36" s="32" t="inlineStr">
        <is>
          <t>N</t>
        </is>
      </c>
      <c r="H36" s="32" t="inlineStr">
        <is>
          <t>— electrical (interim)</t>
        </is>
      </c>
      <c r="I36" s="32" t="inlineStr">
        <is>
          <t>not fetched</t>
        </is>
      </c>
      <c r="J36" s="32" t="n"/>
      <c r="K36" s="32" t="n"/>
    </row>
    <row r="37" ht="15" customHeight="1" s="21">
      <c r="A37" s="32" t="n">
        <v>36</v>
      </c>
      <c r="B37" s="32" t="inlineStr">
        <is>
          <t>LC76_Bush_Mechanics_Guide.html</t>
        </is>
      </c>
      <c r="C37" s="32" t="inlineStr">
        <is>
          <t>R27</t>
        </is>
      </c>
      <c r="D37" s="32" t="inlineStr">
        <is>
          <t>Reference</t>
        </is>
      </c>
      <c r="E37" s="32" t="inlineStr">
        <is>
          <t>A</t>
        </is>
      </c>
      <c r="F37" s="32" t="inlineStr">
        <is>
          <t>In</t>
        </is>
      </c>
      <c r="G37" s="32" t="inlineStr">
        <is>
          <t>N</t>
        </is>
      </c>
      <c r="H37" s="32" t="inlineStr">
        <is>
          <t>T3</t>
        </is>
      </c>
      <c r="I37" s="32" t="n">
        <v>200</v>
      </c>
      <c r="J37" s="32" t="n">
        <v>129931</v>
      </c>
      <c r="K37" s="32" t="n"/>
    </row>
    <row r="38" ht="15" customHeight="1" s="21">
      <c r="A38" s="32" t="n">
        <v>37</v>
      </c>
      <c r="B38" s="32" t="inlineStr">
        <is>
          <t>LC76_Driving_Conditions_Guide.html</t>
        </is>
      </c>
      <c r="C38" s="32" t="inlineStr">
        <is>
          <t>R28</t>
        </is>
      </c>
      <c r="D38" s="32" t="inlineStr">
        <is>
          <t>Reference</t>
        </is>
      </c>
      <c r="E38" s="32" t="inlineStr">
        <is>
          <t>A</t>
        </is>
      </c>
      <c r="F38" s="32" t="inlineStr">
        <is>
          <t>In</t>
        </is>
      </c>
      <c r="G38" s="32" t="inlineStr">
        <is>
          <t>N</t>
        </is>
      </c>
      <c r="H38" s="32" t="inlineStr">
        <is>
          <t>T4</t>
        </is>
      </c>
      <c r="I38" s="32" t="n">
        <v>200</v>
      </c>
      <c r="J38" s="32" t="n">
        <v>104035</v>
      </c>
      <c r="K38" s="32" t="n"/>
    </row>
    <row r="39" ht="15" customHeight="1" s="21">
      <c r="A39" s="32" t="n">
        <v>38</v>
      </c>
      <c r="B39" s="32" t="inlineStr">
        <is>
          <t>LC76_Insurance_Medevac.html</t>
        </is>
      </c>
      <c r="C39" s="32" t="inlineStr">
        <is>
          <t>R29</t>
        </is>
      </c>
      <c r="D39" s="32" t="inlineStr">
        <is>
          <t>Reference</t>
        </is>
      </c>
      <c r="E39" s="32" t="inlineStr">
        <is>
          <t>A</t>
        </is>
      </c>
      <c r="F39" s="32" t="inlineStr">
        <is>
          <t>In</t>
        </is>
      </c>
      <c r="G39" s="32" t="inlineStr">
        <is>
          <t>N</t>
        </is>
      </c>
      <c r="H39" s="32" t="inlineStr">
        <is>
          <t>T6 (currency-light)</t>
        </is>
      </c>
      <c r="I39" s="32" t="n">
        <v>200</v>
      </c>
      <c r="J39" s="32" t="n">
        <v>113714</v>
      </c>
      <c r="K39" s="32" t="n"/>
    </row>
    <row r="40" ht="15" customHeight="1" s="21">
      <c r="A40" s="32" t="n">
        <v>39</v>
      </c>
      <c r="B40" s="32" t="inlineStr">
        <is>
          <t>LC76_Cross_Reference_Index.html</t>
        </is>
      </c>
      <c r="C40" s="32" t="inlineStr">
        <is>
          <t>R30</t>
        </is>
      </c>
      <c r="D40" s="32" t="inlineStr">
        <is>
          <t>Reference</t>
        </is>
      </c>
      <c r="E40" s="32" t="inlineStr">
        <is>
          <t>A</t>
        </is>
      </c>
      <c r="F40" s="32" t="inlineStr">
        <is>
          <t>In</t>
        </is>
      </c>
      <c r="G40" s="32" t="inlineStr">
        <is>
          <t>N</t>
        </is>
      </c>
      <c r="H40" s="32" t="inlineStr">
        <is>
          <t>T6 (link-integrity)</t>
        </is>
      </c>
      <c r="I40" s="32" t="n">
        <v>200</v>
      </c>
      <c r="J40" s="32" t="n">
        <v>93274</v>
      </c>
      <c r="K40" s="32" t="n"/>
    </row>
    <row r="41" ht="15" customHeight="1" s="21">
      <c r="A41" s="32" t="n">
        <v>40</v>
      </c>
      <c r="B41" s="32" t="inlineStr">
        <is>
          <t>LC76_Upgrade_Assessment.html</t>
        </is>
      </c>
      <c r="C41" s="32" t="inlineStr">
        <is>
          <t>R31</t>
        </is>
      </c>
      <c r="D41" s="32" t="inlineStr">
        <is>
          <t>Reference</t>
        </is>
      </c>
      <c r="E41" s="32" t="inlineStr">
        <is>
          <t>A</t>
        </is>
      </c>
      <c r="F41" s="32" t="inlineStr">
        <is>
          <t>In</t>
        </is>
      </c>
      <c r="G41" s="32" t="inlineStr">
        <is>
          <t>N</t>
        </is>
      </c>
      <c r="H41" s="32" t="inlineStr">
        <is>
          <t>T4</t>
        </is>
      </c>
      <c r="I41" s="32" t="n">
        <v>200</v>
      </c>
      <c r="J41" s="32" t="n">
        <v>45572</v>
      </c>
      <c r="K41" s="32" t="n"/>
    </row>
    <row r="42" ht="23.25" customHeight="1" s="21">
      <c r="A42" s="32" t="n">
        <v>41</v>
      </c>
      <c r="B42" s="32" t="inlineStr">
        <is>
          <t>LC76_Crank_Battery_Care.html</t>
        </is>
      </c>
      <c r="C42" s="32" t="inlineStr">
        <is>
          <t>R32</t>
        </is>
      </c>
      <c r="D42" s="32" t="inlineStr">
        <is>
          <t>Reference</t>
        </is>
      </c>
      <c r="E42" s="32" t="inlineStr">
        <is>
          <t>A</t>
        </is>
      </c>
      <c r="F42" s="32" t="inlineStr">
        <is>
          <t>Deferred</t>
        </is>
      </c>
      <c r="G42" s="32" t="inlineStr">
        <is>
          <t>N</t>
        </is>
      </c>
      <c r="H42" s="32" t="inlineStr">
        <is>
          <t>— electrical</t>
        </is>
      </c>
      <c r="I42" s="32" t="inlineStr">
        <is>
          <t>not fetched</t>
        </is>
      </c>
      <c r="J42" s="32" t="n"/>
      <c r="K42" s="32" t="n"/>
    </row>
    <row r="43" ht="23.25" customHeight="1" s="21">
      <c r="A43" s="32" t="n">
        <v>42</v>
      </c>
      <c r="B43" s="32" t="inlineStr">
        <is>
          <t>LC76_Aux_Battery_Care.html</t>
        </is>
      </c>
      <c r="C43" s="32" t="inlineStr">
        <is>
          <t>R33</t>
        </is>
      </c>
      <c r="D43" s="32" t="inlineStr">
        <is>
          <t>Reference</t>
        </is>
      </c>
      <c r="E43" s="32" t="inlineStr">
        <is>
          <t>A</t>
        </is>
      </c>
      <c r="F43" s="32" t="inlineStr">
        <is>
          <t>Deferred</t>
        </is>
      </c>
      <c r="G43" s="32" t="inlineStr">
        <is>
          <t>N</t>
        </is>
      </c>
      <c r="H43" s="32" t="inlineStr">
        <is>
          <t>— electrical</t>
        </is>
      </c>
      <c r="I43" s="32" t="inlineStr">
        <is>
          <t>not fetched</t>
        </is>
      </c>
      <c r="J43" s="32" t="n"/>
      <c r="K43" s="32" t="n"/>
    </row>
    <row r="44" ht="15" customHeight="1" s="21">
      <c r="A44" s="32" t="n">
        <v>43</v>
      </c>
      <c r="B44" s="32" t="inlineStr">
        <is>
          <t>LC76_Brake_System_Guide.html</t>
        </is>
      </c>
      <c r="C44" s="32" t="inlineStr">
        <is>
          <t>R34</t>
        </is>
      </c>
      <c r="D44" s="32" t="inlineStr">
        <is>
          <t>Reference</t>
        </is>
      </c>
      <c r="E44" s="32" t="inlineStr">
        <is>
          <t>A</t>
        </is>
      </c>
      <c r="F44" s="32" t="inlineStr">
        <is>
          <t>In</t>
        </is>
      </c>
      <c r="G44" s="32" t="inlineStr">
        <is>
          <t>N</t>
        </is>
      </c>
      <c r="H44" s="32" t="inlineStr">
        <is>
          <t>T2</t>
        </is>
      </c>
      <c r="I44" s="32" t="n">
        <v>200</v>
      </c>
      <c r="J44" s="32" t="n">
        <v>36775</v>
      </c>
      <c r="K44" s="32" t="n"/>
    </row>
    <row r="45" ht="15" customHeight="1" s="21">
      <c r="A45" s="32" t="n">
        <v>44</v>
      </c>
      <c r="B45" s="32" t="inlineStr">
        <is>
          <t>LC76_Security_Fire_Guide.html</t>
        </is>
      </c>
      <c r="C45" s="32" t="inlineStr">
        <is>
          <t>R35</t>
        </is>
      </c>
      <c r="D45" s="32" t="inlineStr">
        <is>
          <t>Reference</t>
        </is>
      </c>
      <c r="E45" s="32" t="inlineStr">
        <is>
          <t>A</t>
        </is>
      </c>
      <c r="F45" s="32" t="inlineStr">
        <is>
          <t>In</t>
        </is>
      </c>
      <c r="G45" s="32" t="inlineStr">
        <is>
          <t>N</t>
        </is>
      </c>
      <c r="H45" s="32" t="inlineStr">
        <is>
          <t>T2</t>
        </is>
      </c>
      <c r="I45" s="32" t="n">
        <v>200</v>
      </c>
      <c r="J45" s="32" t="n">
        <v>36849</v>
      </c>
      <c r="K45" s="32" t="n"/>
    </row>
    <row r="46" ht="15" customHeight="1" s="21">
      <c r="A46" s="32" t="n">
        <v>45</v>
      </c>
      <c r="B46" s="32" t="inlineStr">
        <is>
          <t>LC76_Wildlife_Camp_Safety_Guide.html</t>
        </is>
      </c>
      <c r="C46" s="32" t="inlineStr">
        <is>
          <t>R36</t>
        </is>
      </c>
      <c r="D46" s="32" t="inlineStr">
        <is>
          <t>Reference</t>
        </is>
      </c>
      <c r="E46" s="32" t="inlineStr">
        <is>
          <t>A</t>
        </is>
      </c>
      <c r="F46" s="32" t="inlineStr">
        <is>
          <t>In</t>
        </is>
      </c>
      <c r="G46" s="32" t="inlineStr">
        <is>
          <t>N</t>
        </is>
      </c>
      <c r="H46" s="32" t="inlineStr">
        <is>
          <t>T2</t>
        </is>
      </c>
      <c r="I46" s="32" t="n">
        <v>200</v>
      </c>
      <c r="J46" s="32" t="n">
        <v>40669</v>
      </c>
      <c r="K46" s="32" t="n"/>
    </row>
    <row r="47" ht="15" customHeight="1" s="21">
      <c r="A47" s="32" t="n">
        <v>46</v>
      </c>
      <c r="B47" s="32" t="inlineStr">
        <is>
          <t>Angola_Overland_Profile_2026-04.html</t>
        </is>
      </c>
      <c r="C47" s="32" t="inlineStr">
        <is>
          <t>P001</t>
        </is>
      </c>
      <c r="D47" s="32" t="inlineStr">
        <is>
          <t>Profile</t>
        </is>
      </c>
      <c r="E47" s="32" t="inlineStr">
        <is>
          <t>Profile</t>
        </is>
      </c>
      <c r="F47" s="32" t="inlineStr">
        <is>
          <t>In</t>
        </is>
      </c>
      <c r="G47" s="32" t="inlineStr">
        <is>
          <t>N</t>
        </is>
      </c>
      <c r="H47" s="32" t="inlineStr">
        <is>
          <t>T7 (non-currency only)</t>
        </is>
      </c>
      <c r="I47" s="32" t="n">
        <v>200</v>
      </c>
      <c r="J47" s="32" t="n">
        <v>122166</v>
      </c>
      <c r="K47" s="32" t="n"/>
    </row>
    <row r="48" ht="15" customHeight="1" s="21">
      <c r="A48" s="32" t="n">
        <v>47</v>
      </c>
      <c r="B48" s="32" t="inlineStr">
        <is>
          <t>Namibia_Overland_Profile_2026-04.html</t>
        </is>
      </c>
      <c r="C48" s="32" t="inlineStr">
        <is>
          <t>P002</t>
        </is>
      </c>
      <c r="D48" s="32" t="inlineStr">
        <is>
          <t>Profile</t>
        </is>
      </c>
      <c r="E48" s="32" t="inlineStr">
        <is>
          <t>Profile</t>
        </is>
      </c>
      <c r="F48" s="32" t="inlineStr">
        <is>
          <t>In</t>
        </is>
      </c>
      <c r="G48" s="32" t="inlineStr">
        <is>
          <t>N</t>
        </is>
      </c>
      <c r="H48" s="32" t="inlineStr">
        <is>
          <t>T7 (non-currency only)</t>
        </is>
      </c>
      <c r="I48" s="32" t="n">
        <v>200</v>
      </c>
      <c r="J48" s="32" t="n">
        <v>167831</v>
      </c>
      <c r="K48" s="32" t="n"/>
    </row>
    <row r="49" ht="15" customHeight="1" s="21">
      <c r="A49" s="32" t="n">
        <v>48</v>
      </c>
      <c r="B49" s="32" t="inlineStr">
        <is>
          <t>Botswana_Overland_Profile_2026-04.html</t>
        </is>
      </c>
      <c r="C49" s="32" t="inlineStr">
        <is>
          <t>P003</t>
        </is>
      </c>
      <c r="D49" s="32" t="inlineStr">
        <is>
          <t>Profile</t>
        </is>
      </c>
      <c r="E49" s="32" t="inlineStr">
        <is>
          <t>Profile</t>
        </is>
      </c>
      <c r="F49" s="32" t="inlineStr">
        <is>
          <t>In</t>
        </is>
      </c>
      <c r="G49" s="32" t="inlineStr">
        <is>
          <t>N</t>
        </is>
      </c>
      <c r="H49" s="32" t="inlineStr">
        <is>
          <t>T7 (non-currency only)</t>
        </is>
      </c>
      <c r="I49" s="32" t="n">
        <v>200</v>
      </c>
      <c r="J49" s="32" t="n">
        <v>130892</v>
      </c>
      <c r="K49" s="32" t="n"/>
    </row>
    <row r="50" ht="15" customHeight="1" s="21">
      <c r="A50" s="32" t="n">
        <v>49</v>
      </c>
      <c r="B50" s="32" t="inlineStr">
        <is>
          <t>Zambia_Overland_Profile_2026-04.html</t>
        </is>
      </c>
      <c r="C50" s="32" t="inlineStr">
        <is>
          <t>P004</t>
        </is>
      </c>
      <c r="D50" s="32" t="inlineStr">
        <is>
          <t>Profile</t>
        </is>
      </c>
      <c r="E50" s="32" t="inlineStr">
        <is>
          <t>Profile</t>
        </is>
      </c>
      <c r="F50" s="32" t="inlineStr">
        <is>
          <t>In</t>
        </is>
      </c>
      <c r="G50" s="32" t="inlineStr">
        <is>
          <t>N</t>
        </is>
      </c>
      <c r="H50" s="32" t="inlineStr">
        <is>
          <t>T7 (non-currency only)</t>
        </is>
      </c>
      <c r="I50" s="32" t="n">
        <v>200</v>
      </c>
      <c r="J50" s="32" t="n">
        <v>135763</v>
      </c>
      <c r="K50" s="32" t="n"/>
    </row>
    <row r="51" ht="15" customHeight="1" s="21">
      <c r="A51" s="32" t="n">
        <v>50</v>
      </c>
      <c r="B51" s="32" t="inlineStr">
        <is>
          <t>LC76_Kalahari_Profile_2026-04.html</t>
        </is>
      </c>
      <c r="C51" s="32" t="inlineStr">
        <is>
          <t>P005</t>
        </is>
      </c>
      <c r="D51" s="32" t="inlineStr">
        <is>
          <t>Profile</t>
        </is>
      </c>
      <c r="E51" s="32" t="inlineStr">
        <is>
          <t>Profile</t>
        </is>
      </c>
      <c r="F51" s="32" t="inlineStr">
        <is>
          <t>In</t>
        </is>
      </c>
      <c r="G51" s="32" t="inlineStr">
        <is>
          <t>N</t>
        </is>
      </c>
      <c r="H51" s="32" t="inlineStr">
        <is>
          <t>T7 (non-currency only)</t>
        </is>
      </c>
      <c r="I51" s="32" t="n">
        <v>200</v>
      </c>
      <c r="J51" s="32" t="n">
        <v>160662</v>
      </c>
      <c r="K51" s="32" t="n"/>
    </row>
    <row r="52" ht="15" customHeight="1" s="21">
      <c r="A52" s="32" t="n">
        <v>51</v>
      </c>
      <c r="B52" s="32" t="inlineStr">
        <is>
          <t>Tanzania_Overland_Profile_2026-05.html</t>
        </is>
      </c>
      <c r="C52" s="32" t="inlineStr">
        <is>
          <t>P006</t>
        </is>
      </c>
      <c r="D52" s="32" t="inlineStr">
        <is>
          <t>Profile</t>
        </is>
      </c>
      <c r="E52" s="32" t="inlineStr">
        <is>
          <t>Profile</t>
        </is>
      </c>
      <c r="F52" s="32" t="inlineStr">
        <is>
          <t>In</t>
        </is>
      </c>
      <c r="G52" s="32" t="inlineStr">
        <is>
          <t>N</t>
        </is>
      </c>
      <c r="H52" s="32" t="inlineStr">
        <is>
          <t>T7 (non-currency only)</t>
        </is>
      </c>
      <c r="I52" s="32" t="n">
        <v>200</v>
      </c>
      <c r="J52" s="32" t="n">
        <v>113098</v>
      </c>
      <c r="K52" s="32" t="n"/>
    </row>
    <row r="53" ht="15" customHeight="1" s="21">
      <c r="A53" s="32" t="n">
        <v>52</v>
      </c>
      <c r="B53" s="32" t="inlineStr">
        <is>
          <t>LC76_Karoo_Winter_Loop_2026.html</t>
        </is>
      </c>
      <c r="C53" s="32" t="n"/>
      <c r="D53" s="32" t="inlineStr">
        <is>
          <t>Itinerary</t>
        </is>
      </c>
      <c r="E53" s="32" t="inlineStr">
        <is>
          <t>Profile</t>
        </is>
      </c>
      <c r="F53" s="32" t="inlineStr">
        <is>
          <t>In</t>
        </is>
      </c>
      <c r="G53" s="32" t="inlineStr">
        <is>
          <t>N</t>
        </is>
      </c>
      <c r="H53" s="32" t="inlineStr">
        <is>
          <t>T7 (non-currency only)</t>
        </is>
      </c>
      <c r="I53" s="32" t="n">
        <v>200</v>
      </c>
      <c r="J53" s="32" t="n">
        <v>60135</v>
      </c>
      <c r="K53" s="32" t="n"/>
    </row>
    <row r="54" ht="15" customHeight="1" s="21">
      <c r="A54" s="32" t="n">
        <v>53</v>
      </c>
      <c r="B54" s="32" t="inlineStr">
        <is>
          <t>index.html</t>
        </is>
      </c>
      <c r="C54" s="32" t="n"/>
      <c r="D54" s="32" t="inlineStr">
        <is>
          <t>Standard</t>
        </is>
      </c>
      <c r="E54" s="32" t="inlineStr">
        <is>
          <t>A</t>
        </is>
      </c>
      <c r="F54" s="32" t="inlineStr">
        <is>
          <t>Standard</t>
        </is>
      </c>
      <c r="G54" s="32" t="inlineStr">
        <is>
          <t>N</t>
        </is>
      </c>
      <c r="H54" s="32" t="inlineStr">
        <is>
          <t>T0 (propagation target)</t>
        </is>
      </c>
      <c r="I54" s="32" t="n">
        <v>200</v>
      </c>
      <c r="J54" s="32" t="n">
        <v>34867</v>
      </c>
      <c r="K54" s="32" t="n"/>
    </row>
    <row r="55" ht="15" customHeight="1" s="21">
      <c r="A55" s="32" t="n">
        <v>54</v>
      </c>
      <c r="B55" s="32" t="inlineStr">
        <is>
          <t>LC76_Design_Guidelines.html</t>
        </is>
      </c>
      <c r="C55" s="32" t="n"/>
      <c r="D55" s="32" t="inlineStr">
        <is>
          <t>Standard</t>
        </is>
      </c>
      <c r="E55" s="32" t="inlineStr">
        <is>
          <t>A</t>
        </is>
      </c>
      <c r="F55" s="32" t="inlineStr">
        <is>
          <t>Standard</t>
        </is>
      </c>
      <c r="G55" s="32" t="inlineStr">
        <is>
          <t>N</t>
        </is>
      </c>
      <c r="H55" s="32" t="inlineStr">
        <is>
          <t>T0 (yardstick — F13)</t>
        </is>
      </c>
      <c r="I55" s="32" t="n">
        <v>200</v>
      </c>
      <c r="J55" s="32" t="n">
        <v>52776</v>
      </c>
      <c r="K55" s="32" t="n"/>
    </row>
    <row r="56" ht="15" customHeight="1" s="21">
      <c r="A56" s="32" t="n">
        <v>55</v>
      </c>
      <c r="B56" s="32" t="inlineStr">
        <is>
          <t>LC76_Profile_TEMPLATE.html</t>
        </is>
      </c>
      <c r="C56" s="32" t="n"/>
      <c r="D56" s="32" t="inlineStr">
        <is>
          <t>Profile</t>
        </is>
      </c>
      <c r="E56" s="32" t="inlineStr">
        <is>
          <t>Profile</t>
        </is>
      </c>
      <c r="F56" s="32" t="inlineStr">
        <is>
          <t>Standard</t>
        </is>
      </c>
      <c r="G56" s="32" t="inlineStr">
        <is>
          <t>N</t>
        </is>
      </c>
      <c r="H56" s="32" t="inlineStr">
        <is>
          <t>T0 (now 200 — F17 closed)</t>
        </is>
      </c>
      <c r="I56" s="32" t="n">
        <v>200</v>
      </c>
      <c r="J56" s="32" t="n">
        <v>40071</v>
      </c>
      <c r="K56" s="32"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3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20" min="1" max="1"/>
    <col width="34" customWidth="1" style="20" min="2" max="2"/>
    <col width="13" customWidth="1" style="20" min="3" max="3"/>
    <col width="72" customWidth="1" style="20" min="4" max="4"/>
    <col width="9" customWidth="1" style="20" min="5" max="5"/>
  </cols>
  <sheetData>
    <row r="1" ht="15" customHeight="1" s="21">
      <c r="A1" s="31" t="inlineStr">
        <is>
          <t>Shared fact</t>
        </is>
      </c>
      <c r="B1" s="31" t="inlineStr">
        <is>
          <t>Canonical value (Facts.txt)</t>
        </is>
      </c>
      <c r="C1" s="31" t="inlineStr">
        <is>
          <t>Status</t>
        </is>
      </c>
      <c r="D1" s="31" t="inlineStr">
        <is>
          <t>Notes / divergent files</t>
        </is>
      </c>
      <c r="E1" s="31" t="inlineStr">
        <is>
          <t>Finding</t>
        </is>
      </c>
    </row>
    <row r="2" ht="23.25" customHeight="1" s="21">
      <c r="A2" s="32" t="inlineStr">
        <is>
          <t>Current odometer</t>
        </is>
      </c>
      <c r="B2" s="32" t="inlineStr">
        <is>
          <t>310,000 km (read Jun 2026)</t>
        </is>
      </c>
      <c r="C2" s="33" t="inlineStr">
        <is>
          <t>Consistent</t>
        </is>
      </c>
      <c r="D2" s="32" t="inlineStr">
        <is>
          <t>Propagated correctly across 11 docs (R11,R18,R19,R20,R23,R27,R28,R34,Checklist,index). EXCEPTION: R8 — see TA-004.  R25 carries a stale 307,000 base for front-shock age → TA-006 (T3).</t>
        </is>
      </c>
      <c r="E2" s="32" t="inlineStr">
        <is>
          <t>TA-004</t>
        </is>
      </c>
    </row>
    <row r="3" ht="15" customHeight="1" s="21">
      <c r="A3" s="32" t="inlineStr">
        <is>
          <t>GVM</t>
        </is>
      </c>
      <c r="B3" s="32" t="inlineStr">
        <is>
          <t>2,850 kg</t>
        </is>
      </c>
      <c r="C3" s="33" t="inlineStr">
        <is>
          <t>Consistent</t>
        </is>
      </c>
      <c r="D3" s="32" t="inlineStr">
        <is>
          <t>Cited in 23 files; uniform.</t>
        </is>
      </c>
      <c r="E3" s="32" t="n"/>
    </row>
    <row r="4" ht="23.25" customHeight="1" s="21">
      <c r="A4" s="32" t="inlineStr">
        <is>
          <t>Kerb weight</t>
        </is>
      </c>
      <c r="B4" s="32" t="inlineStr">
        <is>
          <t>PROVISIONAL ~2,160 / ~2,299 kg</t>
        </is>
      </c>
      <c r="C4" s="34" t="inlineStr">
        <is>
          <t>DIVERGENT</t>
        </is>
      </c>
      <c r="D4" s="32" t="inlineStr">
        <is>
          <t>Most docs ~2,299; spec-summary line still carries ~2,160. (2,160 'floor-jack rating' is a separate tool spec — false positive, excluded.)</t>
        </is>
      </c>
      <c r="E4" s="32" t="inlineStr">
        <is>
          <t>TA-002</t>
        </is>
      </c>
    </row>
    <row r="5" ht="23.25" customHeight="1" s="21">
      <c r="A5" s="32" t="inlineStr">
        <is>
          <t>Payload</t>
        </is>
      </c>
      <c r="B5" s="32" t="inlineStr">
        <is>
          <t>PROVISIONAL ~551 / ~690 kg</t>
        </is>
      </c>
      <c r="C5" s="34" t="inlineStr">
        <is>
          <t>DIVERGENT</t>
        </is>
      </c>
      <c r="D5" s="32" t="inlineStr">
        <is>
          <t>~551 kg dominant (9×). Provisional; R11 correctly uses weighbridge/estimate language and an '~50 kg over GVM' claim sensitive to kerb choice.</t>
        </is>
      </c>
      <c r="E5" s="32" t="inlineStr">
        <is>
          <t>TA-002</t>
        </is>
      </c>
    </row>
    <row r="6" ht="15" customHeight="1" s="21">
      <c r="A6" s="32" t="inlineStr">
        <is>
          <t>Tyre — current</t>
        </is>
      </c>
      <c r="B6" s="32" t="inlineStr">
        <is>
          <t>265/70R16 (Maxxis AT811)</t>
        </is>
      </c>
      <c r="C6" s="33" t="inlineStr">
        <is>
          <t>Consistent</t>
        </is>
      </c>
      <c r="D6" s="32" t="inlineStr">
        <is>
          <t>R14 table correctly labels current.</t>
        </is>
      </c>
      <c r="E6" s="32" t="n"/>
    </row>
    <row r="7" ht="15" customHeight="1" s="21">
      <c r="A7" s="32" t="inlineStr">
        <is>
          <t>Tyre — planned next set</t>
        </is>
      </c>
      <c r="B7" s="32" t="inlineStr">
        <is>
          <t>265/75R16</t>
        </is>
      </c>
      <c r="C7" s="33" t="inlineStr">
        <is>
          <t>Consistent</t>
        </is>
      </c>
      <c r="D7" s="32" t="inlineStr">
        <is>
          <t>62× — high count expected (R19 is a review OF this size; calculator tables).</t>
        </is>
      </c>
      <c r="E7" s="32" t="n"/>
    </row>
    <row r="8" ht="23.25" customHeight="1" s="21">
      <c r="A8" s="32" t="inlineStr">
        <is>
          <t>Tyre — declined option</t>
        </is>
      </c>
      <c r="B8" s="32" t="inlineStr">
        <is>
          <t>235/85R16</t>
        </is>
      </c>
      <c r="C8" s="33" t="inlineStr">
        <is>
          <t>Consistent</t>
        </is>
      </c>
      <c r="D8" s="32" t="inlineStr">
        <is>
          <t>All 5 hits in R14, framed '✗ Declined' (AT811 unavailable in size). Correct content — not an error.</t>
        </is>
      </c>
      <c r="E8" s="32" t="n"/>
    </row>
    <row r="9" ht="15" customHeight="1" s="21">
      <c r="A9" s="32" t="inlineStr">
        <is>
          <t>Tyre — under assessment</t>
        </is>
      </c>
      <c r="B9" s="32" t="inlineStr">
        <is>
          <t>285/75R16</t>
        </is>
      </c>
      <c r="C9" s="33" t="inlineStr">
        <is>
          <t>Consistent</t>
        </is>
      </c>
      <c r="D9" s="32" t="inlineStr">
        <is>
          <t>25×; framed pending Snyman clearance.</t>
        </is>
      </c>
      <c r="E9" s="32" t="n"/>
    </row>
    <row r="10" ht="15" customHeight="1" s="21">
      <c r="A10" s="32" t="inlineStr">
        <is>
          <t>Fuel capacity</t>
        </is>
      </c>
      <c r="B10" s="32" t="inlineStr">
        <is>
          <t>145 L main + 40 L = ~185 L</t>
        </is>
      </c>
      <c r="C10" s="33" t="inlineStr">
        <is>
          <t>Consistent</t>
        </is>
      </c>
      <c r="D10" s="32" t="inlineStr">
        <is>
          <t>Uniform where cited.</t>
        </is>
      </c>
      <c r="E10" s="32" t="n"/>
    </row>
    <row r="11" ht="15" customHeight="1" s="21">
      <c r="A11" s="32" t="inlineStr">
        <is>
          <t>Turbo recon (event)</t>
        </is>
      </c>
      <c r="B11" s="32" t="inlineStr">
        <is>
          <t>Aug 2023 @ 224,406 km</t>
        </is>
      </c>
      <c r="C11" s="33" t="inlineStr">
        <is>
          <t>Consistent</t>
        </is>
      </c>
      <c r="D11" s="32" t="inlineStr">
        <is>
          <t>7 files; event mileage uniform (must not change).</t>
        </is>
      </c>
      <c r="E11" s="32" t="n"/>
    </row>
    <row r="12" ht="23.25" customHeight="1" s="21">
      <c r="A12" s="32" t="inlineStr">
        <is>
          <t>Km on turbo (DERIVED)</t>
        </is>
      </c>
      <c r="B12" s="32" t="inlineStr">
        <is>
          <t>85,594 km (=310,000−224,406)</t>
        </is>
      </c>
      <c r="C12" s="34" t="inlineStr">
        <is>
          <t>DIVERGENT</t>
        </is>
      </c>
      <c r="D12" s="32" t="inlineStr">
        <is>
          <t>Service Checklist re-keyed to 85,594 (TA-003). R8 deferred T4. NOTE: R25's '~86,000' was front-shocks (N181), not turbo → re-filed TA-006.</t>
        </is>
      </c>
      <c r="E12" s="32" t="inlineStr">
        <is>
          <t>TA-003/006</t>
        </is>
      </c>
    </row>
    <row r="13" ht="15" customHeight="1" s="21">
      <c r="A13" s="32" t="inlineStr">
        <is>
          <t>Engine</t>
        </is>
      </c>
      <c r="B13" s="32" t="inlineStr">
        <is>
          <t>1HZ 4.2L inline-6 diesel</t>
        </is>
      </c>
      <c r="C13" s="33" t="inlineStr">
        <is>
          <t>Consistent</t>
        </is>
      </c>
      <c r="D13" s="32" t="inlineStr">
        <is>
          <t>Uniform.</t>
        </is>
      </c>
      <c r="E13" s="32" t="n"/>
    </row>
    <row r="14" ht="15" customHeight="1" s="21">
      <c r="A14" s="32" t="inlineStr">
        <is>
          <t>Transmission</t>
        </is>
      </c>
      <c r="B14" s="32" t="inlineStr">
        <is>
          <t>R151F 5-speed</t>
        </is>
      </c>
      <c r="C14" s="33" t="inlineStr">
        <is>
          <t>Consistent</t>
        </is>
      </c>
      <c r="D14" s="32" t="inlineStr">
        <is>
          <t>Uniform.</t>
        </is>
      </c>
      <c r="E14" s="32" t="n"/>
    </row>
    <row r="15" ht="15" customHeight="1" s="21">
      <c r="A15" s="32" t="inlineStr">
        <is>
          <t>Suspension — rear</t>
        </is>
      </c>
      <c r="B15" s="32" t="inlineStr">
        <is>
          <t>OME CS058R leaves + 63111 shocks</t>
        </is>
      </c>
      <c r="C15" s="33" t="inlineStr">
        <is>
          <t>Consistent</t>
        </is>
      </c>
      <c r="D15" s="32" t="inlineStr">
        <is>
          <t>Matches Facts §4.</t>
        </is>
      </c>
      <c r="E15" s="32" t="n"/>
    </row>
    <row r="16" ht="23.25" customHeight="1" s="21">
      <c r="A16" s="32" t="inlineStr">
        <is>
          <t>Suspension — front</t>
        </is>
      </c>
      <c r="B16" s="32" t="inlineStr">
        <is>
          <t>OME 859 coils + N181 shocks</t>
        </is>
      </c>
      <c r="C16" s="33" t="inlineStr">
        <is>
          <t>Resolved</t>
        </is>
      </c>
      <c r="D16" s="32" t="inlineStr">
        <is>
          <t>CLOSED: OME 859 coils + N181 shocks added to Facts §1 (TA-005). External part-no verify in R25 pass.</t>
        </is>
      </c>
      <c r="E16" s="32" t="inlineStr">
        <is>
          <t>TA-005</t>
        </is>
      </c>
    </row>
    <row r="17" ht="15" customHeight="1" s="21">
      <c r="A17" s="32" t="inlineStr">
        <is>
          <t>Clutch</t>
        </is>
      </c>
      <c r="B17" s="32" t="inlineStr">
        <is>
          <t>TT 4WD HD, Feb 2026 @ 296,500 km</t>
        </is>
      </c>
      <c r="C17" s="33" t="inlineStr">
        <is>
          <t>Consistent</t>
        </is>
      </c>
      <c r="D17" s="32" t="inlineStr">
        <is>
          <t>Matches Facts §7 (event mileage).</t>
        </is>
      </c>
      <c r="E17" s="32" t="n"/>
    </row>
    <row r="18" ht="23.25" customHeight="1" s="21">
      <c r="A18" s="32" t="inlineStr">
        <is>
          <t>Exhaust</t>
        </is>
      </c>
      <c r="B18" s="32" t="inlineStr">
        <is>
          <t>76mm 409 stainless, May 2026 @ 309,968 km</t>
        </is>
      </c>
      <c r="C18" s="33" t="inlineStr">
        <is>
          <t>Consistent</t>
        </is>
      </c>
      <c r="D18" s="32" t="inlineStr">
        <is>
          <t>Event mileage uniform.</t>
        </is>
      </c>
      <c r="E18" s="32" t="n"/>
    </row>
    <row r="19" ht="23.25" customHeight="1" s="21">
      <c r="A19" s="32" t="inlineStr">
        <is>
          <t>Interference engine</t>
        </is>
      </c>
      <c r="B19" s="32" t="inlineStr">
        <is>
          <t>1HZ IS interference</t>
        </is>
      </c>
      <c r="C19" s="32" t="inlineStr">
        <is>
          <t>To verify</t>
        </is>
      </c>
      <c r="D19" s="32" t="inlineStr">
        <is>
          <t>Presence/correctness to confirm per-doc in tranches (any doc stating non-interference = error).</t>
        </is>
      </c>
      <c r="E19" s="32" t="n"/>
    </row>
    <row r="20" ht="15" customHeight="1" s="21">
      <c r="A20" s="20" t="inlineStr">
        <is>
          <t>TA-018/TA-006 batch</t>
        </is>
      </c>
      <c r="B20" s="20" t="inlineStr">
        <is>
          <t>Closed 21 Jun 2026</t>
        </is>
      </c>
      <c r="C20" s="20" t="inlineStr">
        <is>
          <t>xlsx re-tied 314/R810,872.32 (R8-concordant); R25 re-keyed to 310,000/~89,000</t>
        </is>
      </c>
      <c r="D20" s="20" t="inlineStr">
        <is>
          <t>TA-018, TA-006</t>
        </is>
      </c>
      <c r="E20" s="20" t="inlineStr">
        <is>
          <t>Resolved</t>
        </is>
      </c>
    </row>
    <row r="21">
      <c r="A21" s="20" t="inlineStr">
        <is>
          <t>Tranche 3 cluster batch</t>
        </is>
      </c>
      <c r="B21" s="20" t="inlineStr">
        <is>
          <t>Closed 21 Jun 2026</t>
        </is>
      </c>
      <c r="C21" s="20" t="inlineStr">
        <is>
          <t>R18 (3 edits), R27 (1 edit), R21 (1 edit) — valve-gap &amp; pump-rebuild &amp; boost-pending propagation cleared post-Udel. R3 (TA-019) shim-type fix pending R3 edit. R22 (TA-022) deferred to T4.</t>
        </is>
      </c>
      <c r="D21" s="20" t="inlineStr">
        <is>
          <t>TA-019, TA-020, TA-021, TA-023</t>
        </is>
      </c>
      <c r="E21" s="20" t="inlineStr">
        <is>
          <t>Resolved (R18/R27/R21)</t>
        </is>
      </c>
    </row>
    <row r="22">
      <c r="A22" s="20" t="inlineStr">
        <is>
          <t>Tranche 3 — R4 architecture batch (TA-024/TA-001)</t>
        </is>
      </c>
      <c r="B22" s="20" t="inlineStr">
        <is>
          <t>Closed 21 Jun 2026</t>
        </is>
      </c>
      <c r="C22" s="20" t="inlineStr">
        <is>
          <t>R4 OHV-&gt;SOHC fully reconciled: 16 surgical edits (7 brief targets + 5 sweep-found remnants + clearance-value &amp; lobe-count corrections). 1HZ now correctly described as SOHC, belt-driven, bucket-and-shim throughout. R4 was the last OHV-carrying doc — cluster closed library-wide.</t>
        </is>
      </c>
      <c r="D22" s="20" t="inlineStr">
        <is>
          <t>TA-024, TA-001</t>
        </is>
      </c>
      <c r="E22" s="20" t="inlineStr">
        <is>
          <t>Resolved</t>
        </is>
      </c>
    </row>
    <row r="23">
      <c r="A23" s="20" t="inlineStr">
        <is>
          <t>Register reconciliation (Checklist / R26 / R5 div)</t>
        </is>
      </c>
      <c r="B23" s="20" t="inlineStr">
        <is>
          <t>Verified clean 21 Jun 2026</t>
        </is>
      </c>
      <c r="C23" s="20" t="inlineStr">
        <is>
          <t>All 3 stale memory flags checked against live repo &amp; found already resolved: Service_Checklist registered (under R8) + wired (index + sw.js precache); R26 correctly labelled INTERIM lead-acid (not 'on hold'), repo &amp; Register consistent; R5 div 614/614, JS OK. No edits needed. Fetch-before-edit prevented chasing non-defects.</t>
        </is>
      </c>
      <c r="D23" s="20" t="inlineStr">
        <is>
          <t>(register-mgmt, not TA/LX)</t>
        </is>
      </c>
      <c r="E23" s="20" t="inlineStr">
        <is>
          <t>Resolved</t>
        </is>
      </c>
    </row>
    <row r="24">
      <c r="A24" s="20" t="inlineStr">
        <is>
          <t>T4 odometer batch (R22 + Checklist + R23)</t>
        </is>
      </c>
      <c r="B24" s="20" t="inlineStr">
        <is>
          <t>310,412 / 86,006 (corrected from stale 310,000 / 85,594)</t>
        </is>
      </c>
      <c r="C24" s="20" t="inlineStr">
        <is>
          <t>Closed 21 Jun 2026 (scope-b full refresh)</t>
        </is>
      </c>
      <c r="D24" s="20" t="inlineStr">
        <is>
          <t>R22 (3 current re-keys); Checklist (turbo/flush → 86,006, valve flip, anchor 308,248 retained); R23 (49 edits: current+derived refresh, valve/injector/pump → Udel, exhaust-spec 0.35-0.45, timing-belt contradiction corrected @273,023, fuel-filter done, Denso→Bosch). Events 308,248/308,500 preserved. Concordance rows 2/12 (310,000/85,594) SUPERSEDED. R8 deferred (TA-003/004 + new TA-030 glow-plug).</t>
        </is>
      </c>
      <c r="E24" s="20" t="inlineStr">
        <is>
          <t>Resolved (R22/Checklist/R23); R8 open</t>
        </is>
      </c>
    </row>
    <row r="25">
      <c r="A25" s="20" t="inlineStr">
        <is>
          <t>Glow-plug provenance + diesel-tank remediation (Udel Jun 2026)</t>
        </is>
      </c>
      <c r="B25" s="20" t="inlineStr">
        <is>
          <t>Glow: tested Mar 2025 / R&amp;R Jun 2026 (not re-tested). Tank: dropped/flushed Jun 2026 (Udel)</t>
        </is>
      </c>
      <c r="C25" s="20" t="inlineStr">
        <is>
          <t>Corrected 21 Jun 2026 (live-ledger reversal)</t>
        </is>
      </c>
      <c r="D25" s="20" t="inlineStr">
        <is>
          <t>Initial glow conclusion ('Udel didn't do glow plugs; correct R8 to Mar 2025') REVERSED by the live R8 314-rec ledger ('incl. glow plugs' + diesel-tank flush). R23/Facts harmonised; R8 glow-row refinement → R8 session. Vindicates fetch-before-conclude: pre-Udel /mnt/project ledger copy (289 rows) lacked the Udel rows.</t>
        </is>
      </c>
      <c r="E25" s="20" t="inlineStr">
        <is>
          <t>Resolved (R23/Facts); R8 open</t>
        </is>
      </c>
    </row>
    <row r="26">
      <c r="A26" s="20" t="inlineStr">
        <is>
          <t>R8 dedicated pass (TA-003/004/030)</t>
        </is>
      </c>
      <c r="B26" s="20" t="inlineStr">
        <is>
          <t>310,412 / 86,006 / 38,227</t>
        </is>
      </c>
      <c r="C26" s="20" t="inlineStr">
        <is>
          <t>Closed 21 Jun 2026</t>
        </is>
      </c>
      <c r="D26" s="20" t="inlineStr">
        <is>
          <t>R8 (last odo-stale file) reconciled: header+tile -&gt; 310,412 (Udel last service 19 Jun); turbo/coolant derived -&gt; 86,006, drain-hose -&gt; 38,227; glow L1043 + L778 harmonised to 'tested Mar 2025 (DupDiesel) / R&amp;R Jun 2026 (Udel), not re-tested'. 11 surgical edits, div 223/223, JS OK, JSON ledger byte-identical (314 / R810,872), events preserved. T4 odometer batch CLOSED library-wide; monthly-odometer standing process takes over.</t>
        </is>
      </c>
      <c r="E26" s="20" t="inlineStr">
        <is>
          <t>Resolved</t>
        </is>
      </c>
    </row>
    <row r="27">
      <c r="A27" s="20" t="inlineStr">
        <is>
          <t>R34 brake page (TA-011) Tier-1 + torque-gap</t>
        </is>
      </c>
      <c r="B27" s="20" t="inlineStr">
        <is>
          <t>Field-level (owner) — no torque tables</t>
        </is>
      </c>
      <c r="C27" s="20" t="inlineStr">
        <is>
          <t>Closed 21 Jun 2026</t>
        </is>
      </c>
      <c r="D27" s="20" t="inlineStr">
        <is>
          <t>RM0584E brake module (RM899E) located/validated as Tier-1 source; owner-uploaded PDF was 1HZ engine manual (wrong scope, retained for engine re-verify). LSPV Tier-1-confirmed; fluid/bleed content sound + correctly hedged. Owner chose field-level: no torque tables added. No R34 edit. Closes last Tranche-2 dangling item.</t>
        </is>
      </c>
      <c r="E27" s="20" t="inlineStr">
        <is>
          <t>Resolved</t>
        </is>
      </c>
    </row>
    <row r="28">
      <c r="A28" s="20" t="inlineStr">
        <is>
          <t>T4-remainder Session A (R31 Upgrade Assessment; R1/R2 clean)</t>
        </is>
      </c>
      <c r="B28" s="20" t="inlineStr">
        <is>
          <t>0.6 bar (~8.7 psi) boost; 86,006 km on turbo recon; intercooler ~260,000 km</t>
        </is>
      </c>
      <c r="C28" s="20" t="inlineStr">
        <is>
          <t>Closed 22 Jun 2026 (TA-032); TA-033 R31-portion done</t>
        </is>
      </c>
      <c r="D28" s="20" t="inlineStr">
        <is>
          <t>R31: 0.5→0.6 bar (~8.7 psi) ×4 incl. ~7 psi; 'confirmed Jun 2026' on lead turbo card. Turbo-recon derived ~84,000→86,006 ×3 (table/prose/meta). Intercooler derived km-since ~254,000→~260,000 ×3 (table/prose/meta) — scope finding beyond brief, owner-approved (310,412−50,637=259,775). Masthead Last Updated Apr→Jun 2026. Events preserved (cambelt 273,023, recon 224,406, exhaust 309,968); costs preserved (R8,500; R48,000–R89,000). Snyman forward-looking refs flagged — owner chose LEAVE (fixed booked-assessment milestone, not de-preferenced). R1 &amp; R2 audited CLEAN, no edits: R1 payload/kerb already ~-framed (TA-002-gated), valve item generic advisory, no boost; R2 0.15=CSS alpha + glow-plug=operational (both false positives). div R31 140/140, R1 190/190, R2 301/301; JS OK. index.html Last Updated → 22 Jun 2026; sw.js no bump.</t>
        </is>
      </c>
      <c r="E28" s="20" t="inlineStr">
        <is>
          <t>TA-032 Resolved; TA-033 partial (R11/R28 pending)</t>
        </is>
      </c>
    </row>
    <row r="29">
      <c r="A29" s="20" t="inlineStr">
        <is>
          <t>R31 owner content decisions (Session A, same pass)</t>
        </is>
      </c>
      <c r="B29" s="20" t="inlineStr">
        <is>
          <t>Owner-directed upgrade-status changes (not TA/LX findings)</t>
        </is>
      </c>
      <c r="C29" s="20" t="inlineStr">
        <is>
          <t>Applied 22 Jun 2026</t>
        </is>
      </c>
      <c r="D29" s="20" t="inlineStr">
        <is>
          <t>Five S3 'Evaluate' items reallocated on owner instruction: free-flow exhaust → S2 Already Done (complete); boost gauge, high-output alternator, ARP head studs, high-flow airbox → S4 Not Required (reclassify, not delete — preserves decision trail). Rationale: boost gauge not fitting (boost confirmed 0.6 bar Jun 2026, Udel); alternator stock 80A retained (expert-reviewed, neutral); ARP studs not necessary (Udel confirmed, block test passed); airbox decided against (stock retained, neutral). Matrix bands + card sections both updated; exhaust card boost-gauge tail reworded to 'confirmed 0.6 bar'. div 136/136 (count dropped from leaner rewritten cards; balanced), JS OK. CROSS-FILE FLAGS for later: R8/R21 still say 'verify if boost gauge installed' (Facts already says none to be fitted) — harmonise; R23/R5/R7 alternator load-test refs still valid (stock-unit adequacy), confirm they don't recommend the 120-140A upgrade.</t>
        </is>
      </c>
      <c r="E29" s="20" t="inlineStr">
        <is>
          <t>(content-decision memo, not TA/LX)</t>
        </is>
      </c>
    </row>
    <row r="30">
      <c r="A30" s="20" t="inlineStr">
        <is>
          <t>T4-remainder Session B (R11 Packing Optimisation)</t>
        </is>
      </c>
      <c r="B30" s="20" t="inlineStr">
        <is>
          <t>Current odometer 310,412 km</t>
        </is>
      </c>
      <c r="C30" s="20" t="inlineStr">
        <is>
          <t>Closed 22 Jun 2026 (R11 portion of TA-033)</t>
        </is>
      </c>
      <c r="D30" s="20" t="inlineStr">
        <is>
          <t>R11 (84.8 KB, weighbridge-gated): single Type-A edit — vehicle-spec Odometer ~310,000→310,412 km. Payload/WEIGHT section left provisional per TA-002 gate (factory kerb ~2,160 → revised ~2,287 → payload ~563; load ~659 of 563 = ~96 kg over GVM) — already hedged ('estimates; weigh at public weighbridge' ×3). No payload reconciliation. Turbo @ 38,429 km + intercooler @ 50,637 km = install events, preserved. No boost-pressure figure present → R11 not in boost sweep. Tyres 265/70R16 current, correct. div 96/96, 2 scripts OK. TA-033 now R11+R31 done; R28 masthead (Session C) outstanding.</t>
        </is>
      </c>
      <c r="E30" s="20" t="inlineStr">
        <is>
          <t>TA-033 R11+R31 done; R28 pending (Session C)</t>
        </is>
      </c>
    </row>
    <row r="31">
      <c r="A31" s="20" t="inlineStr">
        <is>
          <t>T4-remainder Session C (R28 Driving Conditions) — TRANCHE COMPLETE</t>
        </is>
      </c>
      <c r="B31" s="20" t="inlineStr">
        <is>
          <t>Current odometer 310,412 km</t>
        </is>
      </c>
      <c r="C31" s="20" t="inlineStr">
        <is>
          <t>Closed 22 Jun 2026 (TA-033 fully closed)</t>
        </is>
      </c>
      <c r="D31" s="20" t="inlineStr">
        <is>
          <t>R28 (104 KB): masthead ~310,000→310,412 (Type-A); payload '551 kg'→'~551 kg' (provisional framing, owner-approved, TA-002 gate intact); '(Andrea)' personal name dropped from Powerflow exhaust ref (line 778); line 583 '35 PSI (2.4 bar)'→'2.4 bar (35 PSI)' (bar-primary consistency). CORRECTION: pressure tables are two-column bar-primary + psi-secondary — COMPLIANT (my initial bar-only/psi-primary reads were both wrong). Glow plugs ×4 all operational. div 215/215, JS OK. T4-remainder (R1/R2/R11/R28/R31) COMPLETE.</t>
        </is>
      </c>
      <c r="E31" s="20" t="inlineStr">
        <is>
          <t>TA-033 CLOSED; T4-remainder tranche complete</t>
        </is>
      </c>
    </row>
    <row r="32">
      <c r="A32" s="20" t="inlineStr">
        <is>
          <t>Boost-figure library survey (owner-initiated) + incidental stale-figure sweep</t>
        </is>
      </c>
      <c r="B32" s="20" t="inlineStr">
        <is>
          <t>Boost 0.6 bar (~8.7 psi) canonical</t>
        </is>
      </c>
      <c r="C32" s="20" t="inlineStr">
        <is>
          <t>Survey done 22 Jun 2026; edits PENDING owner decisions</t>
        </is>
      </c>
      <c r="D32" s="20" t="inlineStr">
        <is>
          <t>R11 vehicle-overview turbo row: added 0.6 bar (~8.7 psi). LIBRARY SURVEY (34 docs): NO stale '0.5 bar' anywhere (correction-sweep empty). Already 0.6 bar: R8, R21 (reference, consistent). BOOST-ADD candidates (spec/overview/masthead, no boost shown): R1, R13, R19, R23, R24, R27. DISCREPANCY: R18 line 890 'Max boost ~75 kPa / 0.75 bar' exceeds R21's 7-10 psi envelope + contradicts confirmed 0.6 bar — ruling needed. INCIDENTAL stale found: current-odo mastheads ~310,000 in R19/R20/R27/R34 (→310,412); contextual ~310,000 approximations in R18/R25/R27/R20 (round, judgement); stale derived turbo-km ~80,600 in R23/R20 (→~86,006); turbo install-km INCONSISTENT 35,000 (R18) vs 38,429 (R1/R11) — canonical ruling needed. R8 310,000 = milestone labels, PRESERVE. NOTHING EDITED beyond R11; awaiting owner decisions before sweep.</t>
        </is>
      </c>
      <c r="E32" s="20" t="inlineStr">
        <is>
          <t>New open items: boost-adds; R18 0.75; odo-propagation; turbo install-km</t>
        </is>
      </c>
    </row>
    <row r="33">
      <c r="A33" s="20" t="inlineStr">
        <is>
          <t>R18 turbo-card discrepancy fix + R11 boost trim (owner-directed)</t>
        </is>
      </c>
      <c r="B33" s="20" t="inlineStr">
        <is>
          <t>Boost 0.6 bar (bar-only); turbo install 38,429 km</t>
        </is>
      </c>
      <c r="C33" s="20" t="inlineStr">
        <is>
          <t>Applied 22 Jun 2026</t>
        </is>
      </c>
      <c r="D33" s="20" t="inlineStr">
        <is>
          <t>R18 (93.9 KB) turbo sensor card: title 'Turbo — SAC Low-Boost'→'Turbo'; 'Max boost pressure ~75 kPa / 0.75 bar'→'Boost pressure 0.6 bar' (resolves 0.75-vs-confirmed-0.6 discrepancy); 'Reconditioned by SAC Turbos'→'Installed by SAC'; 'Installed at (approx km) ~35,000 km'→'Installed at 38,429 km' (canonical install km per owner). R11 vehicle-overview trimmed '0.6 bar (~8.7 psi)'→'0.6 bar' (bar-only house style). div R18 511/511, R11 96/96, JS OK. REMAINING boost-adds (R1/R13/R19/R23/R24/R27) + odo-propagation chartered as separate passes.</t>
        </is>
      </c>
      <c r="E33" s="20" t="inlineStr">
        <is>
          <t>R18 discrepancy resolved; install-km harmonised to 38,429</t>
        </is>
      </c>
    </row>
    <row r="34">
      <c r="A34" s="20" t="inlineStr">
        <is>
          <t>Boost-add + odo/derived sweep — §5 step 1 (R1 + R13 + R34)</t>
        </is>
      </c>
      <c r="B34" s="20" t="inlineStr">
        <is>
          <t>Boost 0.6 bar (bar-only); current-odo 310,412 km</t>
        </is>
      </c>
      <c r="C34" s="20" t="inlineStr">
        <is>
          <t>In progress — opened 22 Jun 2026 (TA-034 boost-add, TA-035 odo/derived); both Open</t>
        </is>
      </c>
      <c r="D34" s="20" t="inlineStr">
        <is>
          <t>R1 (29.8KB): row-val -&gt; '0.6 bar · 118 kW / 373 Nm' (&amp;#183; entity). R13 (58.8KB): drivetrain line -&gt; '...with SAC turbo at 0.6 bar'; masthead Last Updated 24 Mar-&gt;22 Jun 2026. R34 (36.8KB): masthead ~310,000-&gt;310,412 km (sole occurrence; tilde dropped, middots untouched); no last-updated field (footer 'Compiled June 2026' = provenance, preserved). R1 has NO date element (nothing to bump). NEW STANDING RULE (owner, 22 Jun): always bump a doc's own masthead 'Last updated' to session date when worked on. Validation: div R1 190/190, R13 104/104, R34 84/84; JS OK; no stale ~310,000 / 0.5 bar in scope; events/costs preserved. index.html already 22 Jun (no-op); sw.js no bump.</t>
        </is>
      </c>
      <c r="E34" s="20" t="inlineStr">
        <is>
          <t>TA-034 + TA-035 Open (session 1 of multi-file passes)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L3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20" min="1" max="1"/>
    <col width="30" customWidth="1" style="20" min="2" max="2"/>
    <col width="12" customWidth="1" style="20" min="3" max="3"/>
    <col width="24" customWidth="1" style="20" min="4" max="4"/>
    <col width="40" customWidth="1" style="20" min="5" max="5"/>
    <col width="6" customWidth="1" style="20" min="6" max="6"/>
    <col width="18" customWidth="1" style="20" min="7" max="7"/>
    <col width="26" customWidth="1" style="20" min="8" max="8"/>
    <col width="6" customWidth="1" style="20" min="9" max="9"/>
    <col width="22" customWidth="1" style="20" min="10" max="10"/>
    <col width="42" customWidth="1" style="20" min="11" max="11"/>
    <col width="8" customWidth="1" style="20" min="12" max="12"/>
  </cols>
  <sheetData>
    <row r="1" ht="15" customHeight="1" s="21">
      <c r="A1" s="31" t="inlineStr">
        <is>
          <t>ID</t>
        </is>
      </c>
      <c r="B1" s="31" t="inlineStr">
        <is>
          <t>File</t>
        </is>
      </c>
      <c r="C1" s="31" t="inlineStr">
        <is>
          <t>R#</t>
        </is>
      </c>
      <c r="D1" s="31" t="inlineStr">
        <is>
          <t>Location</t>
        </is>
      </c>
      <c r="E1" s="31" t="inlineStr">
        <is>
          <t>Assertion</t>
        </is>
      </c>
      <c r="F1" s="31" t="inlineStr">
        <is>
          <t>Risk</t>
        </is>
      </c>
      <c r="G1" s="31" t="inlineStr">
        <is>
          <t>Internal</t>
        </is>
      </c>
      <c r="H1" s="31" t="inlineStr">
        <is>
          <t>External source</t>
        </is>
      </c>
      <c r="I1" s="31" t="inlineStr">
        <is>
          <t>Tier</t>
        </is>
      </c>
      <c r="J1" s="31" t="inlineStr">
        <is>
          <t>Verdict</t>
        </is>
      </c>
      <c r="K1" s="31" t="inlineStr">
        <is>
          <t>Action</t>
        </is>
      </c>
      <c r="L1" s="31" t="inlineStr">
        <is>
          <t>Status</t>
        </is>
      </c>
    </row>
    <row r="2" ht="23.25" customHeight="1" s="21">
      <c r="A2" s="32" t="inlineStr">
        <is>
          <t>TA-000</t>
        </is>
      </c>
      <c r="B2" s="32" t="inlineStr">
        <is>
          <t>LC76_Engine_Training.html via FSM</t>
        </is>
      </c>
      <c r="C2" s="32" t="inlineStr">
        <is>
          <t>R4</t>
        </is>
      </c>
      <c r="D2" s="32" t="inlineStr">
        <is>
          <t>Valve clearance VALUE</t>
        </is>
      </c>
      <c r="E2" s="32" t="inlineStr">
        <is>
          <t>Intake 0.15–0.25 / Exhaust 0.35–0.45 mm (cold)</t>
        </is>
      </c>
      <c r="F2" s="35" t="inlineStr">
        <is>
          <t>M</t>
        </is>
      </c>
      <c r="G2" s="32" t="inlineStr">
        <is>
          <t>Facts holds interval only</t>
        </is>
      </c>
      <c r="H2" s="32" t="inlineStr">
        <is>
          <t>FSM RM617E SS-3 p73</t>
        </is>
      </c>
      <c r="I2" s="32" t="inlineStr">
        <is>
          <t>1</t>
        </is>
      </c>
      <c r="J2" s="33" t="inlineStr">
        <is>
          <t>Confirmed</t>
        </is>
      </c>
      <c r="K2" s="32" t="inlineStr">
        <is>
          <t>Use as canonical spec; ensure R4/R18 cite it verbatim</t>
        </is>
      </c>
      <c r="L2" s="32" t="inlineStr">
        <is>
          <t>Closed</t>
        </is>
      </c>
    </row>
    <row r="3" ht="39" customHeight="1" s="21">
      <c r="A3" s="32" t="inlineStr">
        <is>
          <t>TA-001</t>
        </is>
      </c>
      <c r="B3" s="32" t="inlineStr">
        <is>
          <t>LC76_Engine_Training.html</t>
        </is>
      </c>
      <c r="C3" s="32" t="inlineStr">
        <is>
          <t>R4</t>
        </is>
      </c>
      <c r="D3" s="32" t="inlineStr">
        <is>
          <t>Valve adjustment method &amp; field difficulty</t>
        </is>
      </c>
      <c r="E3" s="32" t="inlineStr">
        <is>
          <t>Claims 'locknut &amp; adjuster screw on each rocker arm' + 'easy field job, basic tools'</t>
        </is>
      </c>
      <c r="F3" s="34" t="inlineStr">
        <is>
          <t>S</t>
        </is>
      </c>
      <c r="G3" s="32" t="inlineStr">
        <is>
          <t>Contradicts FSM</t>
        </is>
      </c>
      <c r="H3" s="32" t="inlineStr">
        <is>
          <t>FSM RM617E SS-3 p73 (shim chart 2.35–3.30mm)</t>
        </is>
      </c>
      <c r="I3" s="32" t="inlineStr">
        <is>
          <t>1</t>
        </is>
      </c>
      <c r="J3" s="36" t="inlineStr">
        <is>
          <t>CONFIRMED (R8 valve table: 6 intakes 0.08→shims)</t>
        </is>
      </c>
      <c r="K3" s="32" t="inlineStr">
        <is>
          <t>Correct to shim-type adjustment; reclassify field difficulty (SST/cam removal). Confirm vs EM valve-clearance procedure page. — CONFIRMED: Udel Jun 2026 adjusted valve clearances with NEW SHIMS (real-world proof the 1HZ is shim-type). R4's 'locknut &amp; adjuster screw on rocker arm' is wrong; fix in R4 pass. | CLOSED 21 Jun 2026 (R4 dedicated session): folded into TA-024. Method corrected in R4 core card — 'locknut &amp; adjuster screw on rocker arm' replaced with shim-over-bucket description; field difficulty reclassified from 'easy field job' to workshop job (cam-out, SST). Subsumed by TA-024 full pass.</t>
        </is>
      </c>
      <c r="L3" s="32" t="inlineStr">
        <is>
          <t>Closed</t>
        </is>
      </c>
    </row>
    <row r="4" ht="34.5" customHeight="1" s="21">
      <c r="A4" s="32" t="inlineStr">
        <is>
          <t>TA-002</t>
        </is>
      </c>
      <c r="B4" s="32" t="inlineStr">
        <is>
          <t>(cross-file)</t>
        </is>
      </c>
      <c r="C4" s="32" t="inlineStr">
        <is>
          <t>R1,R11,R25,R27,R30</t>
        </is>
      </c>
      <c r="D4" s="32" t="inlineStr">
        <is>
          <t>Kerb/payload</t>
        </is>
      </c>
      <c r="E4" s="32" t="inlineStr">
        <is>
          <t>Spread ~2,160 vs ~2,299 kerb; ~551 vs ~690 payload</t>
        </is>
      </c>
      <c r="F4" s="34" t="inlineStr">
        <is>
          <t>HIGH</t>
        </is>
      </c>
      <c r="G4" s="32" t="inlineStr">
        <is>
          <t>Divergent; provisional</t>
        </is>
      </c>
      <c r="H4" s="32" t="inlineStr">
        <is>
          <t>Weighbridge (owner action) — pending</t>
        </is>
      </c>
      <c r="I4" s="32" t="inlineStr">
        <is>
          <t>—</t>
        </is>
      </c>
      <c r="J4" s="34" t="inlineStr">
        <is>
          <t>Unreconciled (=audit F10)</t>
        </is>
      </c>
      <c r="K4" s="32" t="inlineStr">
        <is>
          <t>Weighbridge loaded vehicle (per-axle+GCM); reconcile to one figure; propagate; flag provisional meanwhile</t>
        </is>
      </c>
      <c r="L4" s="32" t="inlineStr">
        <is>
          <t>Open</t>
        </is>
      </c>
    </row>
    <row r="5" ht="23.25" customHeight="1" s="21">
      <c r="A5" s="32" t="inlineStr">
        <is>
          <t>TA-003</t>
        </is>
      </c>
      <c r="B5" s="32" t="inlineStr">
        <is>
          <t>(cross-file)</t>
        </is>
      </c>
      <c r="C5" s="32" t="inlineStr">
        <is>
          <t>R8,R8s,R25</t>
        </is>
      </c>
      <c r="D5" s="32" t="inlineStr">
        <is>
          <t>Km on turbo (derived)</t>
        </is>
      </c>
      <c r="E5" s="32" t="inlineStr">
        <is>
          <t>84,278 / ~86,000 vs canonical 85,594</t>
        </is>
      </c>
      <c r="F5" s="35" t="inlineStr">
        <is>
          <t>M</t>
        </is>
      </c>
      <c r="G5" s="32" t="inlineStr">
        <is>
          <t>Divergent / stale base</t>
        </is>
      </c>
      <c r="H5" s="32" t="inlineStr">
        <is>
          <t>Facts §2 (310,000 base)</t>
        </is>
      </c>
      <c r="I5" s="32" t="inlineStr">
        <is>
          <t>internal</t>
        </is>
      </c>
      <c r="J5" s="32" t="inlineStr">
        <is>
          <t>Divergent</t>
        </is>
      </c>
      <c r="K5" s="32" t="inlineStr">
        <is>
          <t>Service Checklist re-keyed to 85,594 (turbo + same-base coolant). R8 turbo-km DEFERRED to its T4 dedicated pass.  | [R8 T4 pass 21 Jun 2026] R8 turbo/coolant derived km recomputed against canonical 310,412 base: turbo oil-feed/shaft-play 84,278-&gt;86,006, coolant-flush 84,094/~84,000-&gt;86,006 (=310,412-224,406). Supersedes stale 85,594 (310,000 base). CLOSED.</t>
        </is>
      </c>
      <c r="L5" s="35" t="inlineStr">
        <is>
          <t>Closed</t>
        </is>
      </c>
    </row>
    <row r="6" ht="23.25" customHeight="1" s="21">
      <c r="A6" s="32" t="inlineStr">
        <is>
          <t>TA-004</t>
        </is>
      </c>
      <c r="B6" s="32" t="inlineStr">
        <is>
          <t>LC76_Service_History.html</t>
        </is>
      </c>
      <c r="C6" s="32" t="inlineStr">
        <is>
          <t>R8</t>
        </is>
      </c>
      <c r="D6" s="32" t="inlineStr">
        <is>
          <t>'Current Service Status' odo</t>
        </is>
      </c>
      <c r="E6" s="32" t="inlineStr">
        <is>
          <t>Shows 308,248 / 308,500 as current; valve line 'current 308,500'</t>
        </is>
      </c>
      <c r="F6" s="35" t="inlineStr">
        <is>
          <t>M</t>
        </is>
      </c>
      <c r="G6" s="32" t="inlineStr">
        <is>
          <t>Lags canonical</t>
        </is>
      </c>
      <c r="H6" s="32" t="inlineStr">
        <is>
          <t>Facts §2 = 310,000</t>
        </is>
      </c>
      <c r="I6" s="32" t="inlineStr">
        <is>
          <t>internal</t>
        </is>
      </c>
      <c r="J6" s="32" t="inlineStr">
        <is>
          <t>Stale current</t>
        </is>
      </c>
      <c r="K6" s="32" t="inlineStr">
        <is>
          <t>Reconcile in R8 dedicated pass (T4); update current-odo refs only, preserve event mileages  | [R8 T4 pass 21 Jun 2026] Stated-current refs reconciled: 'Current Service Status' header 308,248-&gt;310,412; Last-Service tile 308,248/14-04 -&gt; 310,412/19-06 (Udel = latest ledger service, owner-approved). 34 body event-mileage refs (308,248/308,500) PRESERVED; JSON ledger byte-identical (314 rec / R810,872 tie held); div 223/223, JS OK. CLOSED.  | [Owner revision 21 Jun 2026] Tile relabelled 'Last Routine Service' and reverted to 308,248/14-04 (last routine interval service; Udel overhaul is not routine); 'Current Service Status' header odo suffix removed entirely (de-coupled from any odometer to avoid implying a service @310,412). TA-004 remains CLOSED — stated-current reconciliation stands.</t>
        </is>
      </c>
      <c r="L6" s="32" t="inlineStr">
        <is>
          <t>Closed</t>
        </is>
      </c>
    </row>
    <row r="7" ht="23.25" customHeight="1" s="21">
      <c r="A7" s="32" t="inlineStr">
        <is>
          <t>TA-005</t>
        </is>
      </c>
      <c r="B7" s="32" t="inlineStr">
        <is>
          <t>LC76_Facts.txt</t>
        </is>
      </c>
      <c r="C7" s="32" t="inlineStr">
        <is>
          <t>—</t>
        </is>
      </c>
      <c r="D7" s="32" t="inlineStr">
        <is>
          <t>Front suspension part numbers</t>
        </is>
      </c>
      <c r="E7" s="32" t="inlineStr">
        <is>
          <t>OME 859 coils / N181 shocks absent from Facts §1</t>
        </is>
      </c>
      <c r="F7" s="37" t="inlineStr">
        <is>
          <t>E</t>
        </is>
      </c>
      <c r="G7" s="32" t="inlineStr">
        <is>
          <t>Gap</t>
        </is>
      </c>
      <c r="H7" s="32" t="inlineStr">
        <is>
          <t>Project Instructions / vendor</t>
        </is>
      </c>
      <c r="I7" s="32" t="inlineStr">
        <is>
          <t>2</t>
        </is>
      </c>
      <c r="J7" s="33" t="inlineStr">
        <is>
          <t>Resolved</t>
        </is>
      </c>
      <c r="K7" s="32" t="inlineStr">
        <is>
          <t>Front+rear OME parts added to Facts §1. Part-number external verification folded into R25 pass.</t>
        </is>
      </c>
      <c r="L7" s="36" t="inlineStr">
        <is>
          <t>Closed</t>
        </is>
      </c>
    </row>
    <row r="8" ht="15" customHeight="1" s="21">
      <c r="A8" s="20" t="inlineStr">
        <is>
          <t>TA-006</t>
        </is>
      </c>
      <c r="B8" s="20" t="inlineStr">
        <is>
          <t>LC76_Suspension_Steering_Guide.html</t>
        </is>
      </c>
      <c r="C8" s="20" t="inlineStr">
        <is>
          <t>R25</t>
        </is>
      </c>
      <c r="D8" s="20" t="inlineStr">
        <is>
          <t>Front-shock service age (derived)</t>
        </is>
      </c>
      <c r="E8" s="20" t="inlineStr">
        <is>
          <t>'At 307,000 km ... ~86,000 km' on N181 — stale current base (canonical 310,000 → ~89,000)</t>
        </is>
      </c>
      <c r="F8" s="38" t="inlineStr">
        <is>
          <t>M</t>
        </is>
      </c>
      <c r="G8" s="20" t="inlineStr">
        <is>
          <t>Stale current odo (3 spots: L446/498/721)</t>
        </is>
      </c>
      <c r="H8" s="20" t="inlineStr">
        <is>
          <t>Facts §2 = 310,000 base</t>
        </is>
      </c>
      <c r="I8" s="20" t="inlineStr">
        <is>
          <t>internal</t>
        </is>
      </c>
      <c r="J8" s="39" t="inlineStr">
        <is>
          <t>Resolved</t>
        </is>
      </c>
      <c r="K8" s="20" t="inlineStr">
        <is>
          <t>Re-key 307,000→310,000 and ~86,000→~89,000 in R25 pass (T3); preserve fit event 221,000 km (Apr 2023) — DONE: re-keyed 307,000→310,000 (L446) and ~86,000→~89,000 (L498, L721). Fit event (Apr 2023 @ 221,000 km) preserved. Div balance 556/556, JS clean.</t>
        </is>
      </c>
      <c r="L8" s="27" t="inlineStr">
        <is>
          <t>Closed</t>
        </is>
      </c>
    </row>
    <row r="9" ht="15" customHeight="1" s="21">
      <c r="A9" s="20" t="inlineStr">
        <is>
          <t>TA-007</t>
        </is>
      </c>
      <c r="B9" s="20" t="inlineStr">
        <is>
          <t>LC76_Tyre_Pressure_Calculator.html</t>
        </is>
      </c>
      <c r="C9" s="20" t="inlineStr">
        <is>
          <t>Calc</t>
        </is>
      </c>
      <c r="D9" s="20" t="inlineStr">
        <is>
          <t>Payload model / unit basis</t>
        </is>
      </c>
      <c r="E9" s="20" t="inlineStr">
        <is>
          <t>(a) engine is PSI-native, bar derived &amp; quantised to whole-PSI; house style is bar-primary. (b) comment says 45/55 axle split but code applies front:rear 1.0:1.5 (=40/60) — code is defensibly rear-biased for overland loading; comment understates it. (c) payload ceiling 551 + GVM-warn&gt;500 hard-coded to the LATER kerb estimate.</t>
        </is>
      </c>
      <c r="F9" s="27" t="inlineStr">
        <is>
          <t>A</t>
        </is>
      </c>
      <c r="G9" s="20" t="inlineStr">
        <is>
          <t>Reviewed in full</t>
        </is>
      </c>
      <c r="H9" s="20" t="inlineStr">
        <is>
          <t>Maxxis LT265/70R16 Load E (80psi/1449kg max)</t>
        </is>
      </c>
      <c r="I9" s="20" t="inlineStr">
        <is>
          <t>2</t>
        </is>
      </c>
      <c r="J9" s="39" t="inlineStr">
        <is>
          <t>Sound — advisory only</t>
        </is>
      </c>
      <c r="K9" s="20" t="inlineStr">
        <is>
          <t>(a)/(b) optional clarity edits; (c) revisit ceiling/thresholds post-weighbridge (ties TA-002). State confirmed variant (LT/Load E/80psi) as basis.</t>
        </is>
      </c>
      <c r="L9" s="20" t="inlineStr">
        <is>
          <t>Open (advisory)</t>
        </is>
      </c>
    </row>
    <row r="10" ht="15" customHeight="1" s="21">
      <c r="A10" s="20" t="inlineStr">
        <is>
          <t>TA-008</t>
        </is>
      </c>
      <c r="B10" s="20" t="inlineStr">
        <is>
          <t>LC76_Fuel_Range_Calculator.html + LC76_Trip_Fuel_Planner.html</t>
        </is>
      </c>
      <c r="C10" s="20" t="inlineStr">
        <is>
          <t>Calc</t>
        </is>
      </c>
      <c r="D10" s="20" t="inlineStr">
        <is>
          <t>Consumption model</t>
        </is>
      </c>
      <c r="E10" s="20" t="inlineStr">
        <is>
          <t>Maths sound: range=fuel×kmL, used=dist/kmL correct; caps 145/40/185 = Facts §9; reserve handled; (1−Σpenalties)&gt;0 across slider range. Advisory: (a) AC label '−15%' but code applies ÷1.15 (=−13%); (b) no explicit floor guard on (1−Σpenalties); (c) Trip omits temp/AC/weather that Fuel Range includes — same inputs → different economy; (d) payload divisor differs (Trip /690 vs Tyre calc 551) = F10 spread baked in; (e) terrain→speed map non-monotonic (1.45→12 vs 1.55→30km/h).</t>
        </is>
      </c>
      <c r="F10" s="27" t="inlineStr">
        <is>
          <t>A</t>
        </is>
      </c>
      <c r="G10" s="20" t="inlineStr">
        <is>
          <t>Reviewed in full</t>
        </is>
      </c>
      <c r="H10" s="20" t="inlineStr">
        <is>
          <t>Dimensional check + Facts §9</t>
        </is>
      </c>
      <c r="I10" s="20" t="inlineStr">
        <is>
          <t>internal</t>
        </is>
      </c>
      <c r="J10" s="39" t="inlineStr">
        <is>
          <t>Sound — advisory</t>
        </is>
      </c>
      <c r="K10" s="20" t="inlineStr">
        <is>
          <t>(a) align label/divisor; (b) add Math.max floor; (c) align the two consumption models or document; (d) reconcile payload constant post-weighbridge (TA-002); (e) verify terrain labels.</t>
        </is>
      </c>
      <c r="L10" s="20" t="inlineStr">
        <is>
          <t>Open (advisory)</t>
        </is>
      </c>
    </row>
    <row r="11" ht="15" customHeight="1" s="21">
      <c r="A11" s="20" t="inlineStr">
        <is>
          <t>TA-009</t>
        </is>
      </c>
      <c r="B11" s="20" t="inlineStr">
        <is>
          <t>LC76_Fuel_Log_Analyser.html + LC76_Water_Budget_Calculator.html</t>
        </is>
      </c>
      <c r="C11" s="20" t="inlineStr">
        <is>
          <t>Calc</t>
        </is>
      </c>
      <c r="D11" s="20" t="inlineStr">
        <is>
          <t>Stats / budget maths</t>
        </is>
      </c>
      <c r="E11" s="20" t="inlineStr">
        <is>
          <t>Both sound. Fuel Log: correct full-to-full economy (k=dist/Σlitres), median/mean/pctile correct, non-finite guarded, price-regime segmentation appropriate. Water Budget: avail=current−reserve, autonomy=avail/daily, need=daily×resupply correct; div-by-zero guarded. Advisory: Fuel Log clips economy to 3–11 km/L (drops legitimate extreme sand intervals); Water Budget gap compares need to CURRENT (incl. reserve) while autonomy excludes reserve — mild inconsistency.</t>
        </is>
      </c>
      <c r="F11" s="27" t="inlineStr">
        <is>
          <t>A</t>
        </is>
      </c>
      <c r="G11" s="20" t="inlineStr">
        <is>
          <t>Reviewed in full</t>
        </is>
      </c>
      <c r="H11" s="20" t="inlineStr">
        <is>
          <t>Dimensional check</t>
        </is>
      </c>
      <c r="I11" s="20" t="inlineStr">
        <is>
          <t>internal</t>
        </is>
      </c>
      <c r="J11" s="39" t="inlineStr">
        <is>
          <t>Sound — advisory</t>
        </is>
      </c>
      <c r="K11" s="20" t="inlineStr">
        <is>
          <t>Optional: widen/annotate Fuel Log clip; align gap metric to reserve-respecting basis.</t>
        </is>
      </c>
      <c r="L11" s="20" t="inlineStr">
        <is>
          <t>Open (advisory)</t>
        </is>
      </c>
    </row>
    <row r="12" ht="15" customHeight="1" s="21">
      <c r="A12" s="20" t="inlineStr">
        <is>
          <t>TA-010</t>
        </is>
      </c>
      <c r="B12" s="20" t="inlineStr">
        <is>
          <t>LC76_LiFePO4_Calculator.html</t>
        </is>
      </c>
      <c r="C12" s="20" t="inlineStr">
        <is>
          <t>Calc</t>
        </is>
      </c>
      <c r="D12" s="20" t="inlineStr">
        <is>
          <t>Ah power-budget model</t>
        </is>
      </c>
      <c r="E12" s="20" t="inlineStr">
        <is>
          <t>Sound: usable=cap×DoD×eff, avail=cap×(soc−minSoc)×eff, solAh=W×psh×eff/12, altAh=driveH×A×0.88, net &amp; socEnd clamped, div-by-zero guarded, breakdown labels match formulas. Advisory: (a) default cap 300 Ah ≠ planned 200 Ah (Facts §8); (b) DC-DC 2h×30A×0.88=52.8 Ah vs Facts '~55 Ah/2h' (0.88 derate on an already-rated 30A output); (c) solar ÷12V nominal overstates Ah ~6% vs 12.8V LiFePO4.</t>
        </is>
      </c>
      <c r="F12" s="27" t="inlineStr">
        <is>
          <t>A</t>
        </is>
      </c>
      <c r="G12" s="20" t="inlineStr">
        <is>
          <t>Reviewed in full</t>
        </is>
      </c>
      <c r="H12" s="20" t="inlineStr">
        <is>
          <t>Facts §8 (planned LiFePO4 spec)</t>
        </is>
      </c>
      <c r="I12" s="20" t="inlineStr">
        <is>
          <t>2</t>
        </is>
      </c>
      <c r="J12" s="39" t="inlineStr">
        <is>
          <t>Sound — advisory</t>
        </is>
      </c>
      <c r="K12" s="20" t="inlineStr">
        <is>
          <t>(a) default to 200 Ah to match planned bank; (b)/(c) optional precision tweaks. Subject overlaps deferred electrical set — maths verified, spec ties to Facts §8.</t>
        </is>
      </c>
      <c r="L12" s="20" t="inlineStr">
        <is>
          <t>Open (advisory)</t>
        </is>
      </c>
    </row>
    <row r="13" ht="15" customHeight="1" s="21">
      <c r="A13" s="20" t="inlineStr">
        <is>
          <t>TA-011</t>
        </is>
      </c>
      <c r="B13" s="20" t="inlineStr">
        <is>
          <t>LC76_Brake_System_Guide.html</t>
        </is>
      </c>
      <c r="C13" s="20" t="inlineStr">
        <is>
          <t>R34</t>
        </is>
      </c>
      <c r="D13" s="20" t="inlineStr">
        <is>
          <t>Fluid spec · bleed sequence · LSPV</t>
        </is>
      </c>
      <c r="E13" s="20" t="inlineStr">
        <is>
          <t>Fluid: factory DOT 3, DOT 4 compatible (higher BP), DOT 5 silicone incompatible — CORRECT. Bleed: furthest-from-master principle correct; exact L/R order + LSPV position responsibly deferred to FSM (field practice RR→LR→RF→LF→LSPV; FSM commonly omits LSPV from formal procedure). LSPV correctly identified. GAP: no brake torque figures (caliper/wheel/bleeder) — confirm intentional vs to-fill.</t>
        </is>
      </c>
      <c r="F13" s="40" t="inlineStr">
        <is>
          <t>S</t>
        </is>
      </c>
      <c r="G13" s="20" t="inlineStr">
        <is>
          <t>Consistent w/ Facts §4 (DOT grade absent there)</t>
        </is>
      </c>
      <c r="H13" s="20" t="inlineStr">
        <is>
          <t>Contemporary Toyota / FMVSS 116 (Tier-2); 70-series field practice (Tier-3)</t>
        </is>
      </c>
      <c r="I13" s="20" t="inlineStr">
        <is>
          <t>2</t>
        </is>
      </c>
      <c r="J13" s="39" t="inlineStr">
        <is>
          <t>Sound — no error; Tier-1 lock pending</t>
        </is>
      </c>
      <c r="K13" s="20" t="inlineStr">
        <is>
          <t>Owner: confirm torque-gap intent. Provide RM730E brake-section deep-link URL to lock fluid/bleed at Tier-1.  | [21 Jun 2026] Tier-1 brake source located &amp; validated: RM0584E brake module (RM899E supplement) via toyotamanuals.gitlab.io — LSPV page pulled (70-series FZJ/HZJ 71-79: rear-axle load settings, No.2 shackle set-length 78mm nom / 72-84mm range non-Venezuela, nut torque 12.5 N·m, front-vs-rear pressure-check tables). Owner-uploaded PDF was the 1HZ ENGINE manual (RM617E-family) — wrong scope for brakes (useful for engine re-verify instead). R34 audit: fluid spec (DOT3 factory / DOT4 running, never DOT5) sound; bleed order RR-&gt;LR-&gt;LSPV-&gt;RF-&gt;LF stated &amp; correctly hedged 'confirm vs manual'; LSPV field-level correct; NO torque values present (= the 'torque-gap'). PENDING: owner torque-gap intent (add Tier-1 brake torques vs keep field-level), then lock fluid+bleed at Tier-1 + propose R34 change-spec.  | [CLOSED 21 Jun 2026] Owner decision: keep R34 field-level — NO torque tables (torque-gap intentional). Remaining content verified: LSPV Tier-1-confirmed (RM0584E/RM899E page); fluid spec DOT3 factory/DOT4 running/never-DOT5 correct for 70-series; bleed order RR-&gt;LR-&gt;LSPV-&gt;RF-&gt;LF is standard furthest-first and correctly directs reader to confirm precise sequence vs FSM (right field-level posture). No Tier-1 spec-lock edit made — would conflict with field-level decision. R34 brake page CLOSED.</t>
        </is>
      </c>
      <c r="L13" s="20" t="inlineStr">
        <is>
          <t>Closed</t>
        </is>
      </c>
    </row>
    <row r="14" ht="15" customHeight="1" s="21">
      <c r="A14" s="20" t="inlineStr">
        <is>
          <t>TA-012</t>
        </is>
      </c>
      <c r="B14" s="20" t="inlineStr">
        <is>
          <t>LC76_Health_Hygiene_Guide.html</t>
        </is>
      </c>
      <c r="C14" s="20" t="inlineStr">
        <is>
          <t>R17</t>
        </is>
      </c>
      <c r="D14" s="20" t="inlineStr">
        <is>
          <t>Malaria · TD · food/water · hygiene</t>
        </is>
      </c>
      <c r="E14" s="20" t="inlineStr">
        <is>
          <t>All verified vs CDC/WHO standard: Malarone (1–2d before, daily, 7d after), Doxycycline (28d after, upright 30min), Mefloquine (weekly, 2wk before, psych contraindication); DEET 30%, permethrin; P. falciparum 24–48h; TD self-limiting with ORS, loperamide symptom-only, cipro/azithro for bloody/febrile; 2-hour food rule; tumbu-fly precaution. Defers to treating doctor.</t>
        </is>
      </c>
      <c r="F14" s="40" t="inlineStr">
        <is>
          <t>S</t>
        </is>
      </c>
      <c r="G14" s="20" t="inlineStr">
        <is>
          <t>Consistent</t>
        </is>
      </c>
      <c r="H14" s="20" t="inlineStr">
        <is>
          <t>CDC Yellow Book / WHO malaria prophylaxis standard</t>
        </is>
      </c>
      <c r="I14" s="20" t="inlineStr">
        <is>
          <t>2</t>
        </is>
      </c>
      <c r="J14" s="39" t="inlineStr">
        <is>
          <t>Sound — confirmed</t>
        </is>
      </c>
      <c r="K14" s="20" t="inlineStr">
        <is>
          <t>None. Medically accurate. No edit needed.</t>
        </is>
      </c>
      <c r="L14" s="27" t="inlineStr">
        <is>
          <t>Closed</t>
        </is>
      </c>
    </row>
    <row r="15" ht="15" customHeight="1" s="21">
      <c r="A15" s="20" t="inlineStr">
        <is>
          <t>TA-013</t>
        </is>
      </c>
      <c r="B15" s="20" t="inlineStr">
        <is>
          <t>LC76_Emergency_Procedures_Guide.html</t>
        </is>
      </c>
      <c r="C15" s="20" t="inlineStr">
        <is>
          <t>R10 §5</t>
        </is>
      </c>
      <c r="D15" s="20" t="inlineStr">
        <is>
          <t>Snakebite protocol</t>
        </is>
      </c>
      <c r="E15" s="20" t="inlineStr">
        <is>
          <t>CONFIRMED correct vs African Snakebite Institute: PIB for neurotoxic (mamba/cobra) but NEVER for cytotoxic (adder/spitting cobra) — the critical differential, right. Boomslang haemotoxic + SEPARATE antivenom, right. Spitting-cobra eye irrigation 15–20min, right. Death 30min–8hr, right. Green Mamba 'neurotoxic+cytotoxic/PIB yes' matches ASI. DO-NOT list (no cut/suck/tourniquet/ice/alcohol) correct.</t>
        </is>
      </c>
      <c r="F15" s="40" t="inlineStr">
        <is>
          <t>S</t>
        </is>
      </c>
      <c r="G15" s="20" t="inlineStr">
        <is>
          <t>Consistent</t>
        </is>
      </c>
      <c r="H15" s="20" t="inlineStr">
        <is>
          <t>African Snakebite Institute (Tier-1/2 SA authority)</t>
        </is>
      </c>
      <c r="I15" s="20" t="inlineStr">
        <is>
          <t>1</t>
        </is>
      </c>
      <c r="J15" s="39" t="inlineStr">
        <is>
          <t>Sound — confirmed; additive enhancements only</t>
        </is>
      </c>
      <c r="K15" s="20" t="inlineStr">
        <is>
          <t>Optional adds (not corrections): stiletto/burrowing-asp (no effective FA, antivenom ineffective); note CPR not needed but rescue-breathing is; ideal PIB 50–70 mmHg. NOTE: R10 is large (1661 ln) — §5 done; remaining sections (medical/water/environmental/comms-evac) to complete in R10 dedicated pass.</t>
        </is>
      </c>
      <c r="L15" s="27" t="inlineStr">
        <is>
          <t>Closed (§5)</t>
        </is>
      </c>
    </row>
    <row r="16" ht="15" customHeight="1" s="21">
      <c r="A16" s="20" t="inlineStr">
        <is>
          <t>TA-014</t>
        </is>
      </c>
      <c r="B16" s="20" t="inlineStr">
        <is>
          <t>LC76_Wildlife_Camp_Safety_Guide.html</t>
        </is>
      </c>
      <c r="C16" s="20" t="inlineStr">
        <is>
          <t>R36</t>
        </is>
      </c>
      <c r="D16" s="20" t="inlineStr">
        <is>
          <t>Dangerous-game encounter doctrine</t>
        </is>
      </c>
      <c r="E16" s="20" t="inlineStr">
        <is>
          <t>All 8 species verified vs recognised field guidance: hippo never-between-it-and-water; buffalo dagga-bulls/solid-cover; elephant mock(ears spread/noisy/stops) vs real(ears back/trunk curled/silent/head down) — CONFIRMED across multiple sources; lion never-run/never-crouch; leopard leave-an-exit; black-rhino break-the-line/guided-only; croc routine-task ambush; hyena secure-kit. Encounter card consistent. GPS policy embedded + doc is coordinate-clean.</t>
        </is>
      </c>
      <c r="F16" s="40" t="inlineStr">
        <is>
          <t>S</t>
        </is>
      </c>
      <c r="G16" s="20" t="inlineStr">
        <is>
          <t>Consistent w/ country profiles</t>
        </is>
      </c>
      <c r="H16" s="20" t="inlineStr">
        <is>
          <t>Recognised dangerous-game field guidance (FGASA-referenced; News24/Green Safaris/SANParks-style)</t>
        </is>
      </c>
      <c r="I16" s="20" t="inlineStr">
        <is>
          <t>2</t>
        </is>
      </c>
      <c r="J16" s="39" t="inlineStr">
        <is>
          <t>Sound — confirmed</t>
        </is>
      </c>
      <c r="K16" s="20" t="inlineStr">
        <is>
          <t>Optional add (not correction): note charge-sign reading isn't infallible — give space regardless; elephant poor eyesight → dodge sideways like the rhino tip.</t>
        </is>
      </c>
      <c r="L16" s="27" t="inlineStr">
        <is>
          <t>Closed</t>
        </is>
      </c>
    </row>
    <row r="17" ht="15" customHeight="1" s="21">
      <c r="A17" s="20" t="inlineStr">
        <is>
          <t>TA-015</t>
        </is>
      </c>
      <c r="B17" s="20" t="inlineStr">
        <is>
          <t>LC76_Vehicle_Recovery_Guide.html</t>
        </is>
      </c>
      <c r="C17" s="20" t="inlineStr">
        <is>
          <t>R9</t>
        </is>
      </c>
      <c r="D17" s="20" t="inlineStr">
        <is>
          <t>Recovery equipment ratings &amp; doctrine</t>
        </is>
      </c>
      <c r="E17" s="20" t="inlineStr">
        <is>
          <t>CONFIRMED vs recognised recovery standards: snatch/kinetic strap 8,000 kg MBS = 2.8× GVM (2–3× rule ✓); winch 9,500–12,000 lb (≥1.5× GVM ✓); soft shackle 14,000 kg MBS &gt; strap; bow shackle 4.75t WLL (&gt; 3.5t min); tow-ball prohibition emphatic &amp; accurate (documented fatalities); dampener, rated-points-only, straight-line, bystanders 1.5× away, gloves all correct. Ratings key off GVM 2,850 (plate) — NO F10 dependency.</t>
        </is>
      </c>
      <c r="F17" s="40" t="inlineStr">
        <is>
          <t>S</t>
        </is>
      </c>
      <c r="G17" s="20" t="inlineStr">
        <is>
          <t>Consistent (uses GVM, not kerb)</t>
        </is>
      </c>
      <c r="H17" s="20" t="inlineStr">
        <is>
          <t>RACQ/4x4 Australia/AfMA/CarsGuide/Saber recovery standards</t>
        </is>
      </c>
      <c r="I17" s="20" t="inlineStr">
        <is>
          <t>2</t>
        </is>
      </c>
      <c r="J17" s="39" t="inlineStr">
        <is>
          <t>Sound — confirmed</t>
        </is>
      </c>
      <c r="K17" s="20" t="inlineStr">
        <is>
          <t>Optional add (not correction): never knot two straps (≈50% strength loss) — join with rated/soft shackle.</t>
        </is>
      </c>
      <c r="L17" s="27" t="inlineStr">
        <is>
          <t>Closed</t>
        </is>
      </c>
    </row>
    <row r="18" ht="15" customHeight="1" s="21">
      <c r="A18" s="20" t="inlineStr">
        <is>
          <t>TA-016</t>
        </is>
      </c>
      <c r="B18" s="20" t="inlineStr">
        <is>
          <t>LC76_Security_Fire_Guide.html</t>
        </is>
      </c>
      <c r="C18" s="20" t="inlineStr">
        <is>
          <t>R35</t>
        </is>
      </c>
      <c r="D18" s="20" t="inlineStr">
        <is>
          <t>Fire response · extinguishers · anti-bribery</t>
        </is>
      </c>
      <c r="E18" s="20" t="inlineStr">
        <is>
          <t>CONFIRMED vs recognised fire authorities (RAC/UK Fire Service/Mobil): don't fully open bonnet (oxygen flare) — discharge through gap; ABC/ABE dry powder default, non-conductive; aim at base, short bursts; carry ≥2 (1kg empties fast); isolate batteries for electrical; never gas appliance in closed tent (CO). Security/checkpoint/anti-bribery (paperwork request, never escalate, safety&gt;principle, decoy cash; SA filming legal, varies abroad) aligns with standard travel-security doctrine.</t>
        </is>
      </c>
      <c r="F18" s="40" t="inlineStr">
        <is>
          <t>S</t>
        </is>
      </c>
      <c r="G18" s="20" t="inlineStr">
        <is>
          <t>Consistent</t>
        </is>
      </c>
      <c r="H18" s="20" t="inlineStr">
        <is>
          <t>RAC / UK Fire Service / Mobil / Fire Protection Online (Tier-2)</t>
        </is>
      </c>
      <c r="I18" s="20" t="inlineStr">
        <is>
          <t>2</t>
        </is>
      </c>
      <c r="J18" s="39" t="inlineStr">
        <is>
          <t>Sound — confirmed</t>
        </is>
      </c>
      <c r="K18" s="20" t="inlineStr">
        <is>
          <t>Optional adds: state 'never water on engine/fuel fire' explicitly; add Li-ion (Lith-ex/fire blanket) note at LiFePO4 install (forward-looking, electrical deferred).</t>
        </is>
      </c>
      <c r="L18" s="27" t="inlineStr">
        <is>
          <t>Closed</t>
        </is>
      </c>
    </row>
    <row r="19" ht="15" customHeight="1" s="21">
      <c r="A19" s="20" t="inlineStr">
        <is>
          <t>TA-017</t>
        </is>
      </c>
      <c r="B19" s="20" t="inlineStr">
        <is>
          <t>LC76_Emergency_Procedures_Guide.html</t>
        </is>
      </c>
      <c r="C19" s="20" t="inlineStr">
        <is>
          <t>R10</t>
        </is>
      </c>
      <c r="D19" s="20" t="inlineStr">
        <is>
          <t>Resuscitation protocol coverage / index integrity</t>
        </is>
      </c>
      <c r="E19" s="20" t="inlineStr">
        <is>
          <t>GAP + broken cross-refs. §1 Medical Quick-Index routes 'CPR→§4' and 'drowning→§6', but NEITHER protocol exists in those sections. Choking/airway obstruction absent entirely. Anaphylaxis is on the evacuate-now list and §9 kit carries an EpiPen, but there is NO anaphylaxis treatment protocol. The §9 kit also carries a CPR face shield — tools present, use-protocols missing. (Rest of R10 verified sound: §3 fire consistent w/ R35; §4 bleeding/tourniquet/fractures/head/burns/shock/appendicitis correct &amp; current; §6 heat/cold correct; §7 anti-hydrolock sound; §8 comms tiers correct; §9 kit well-specified; §11 rationing sound.)</t>
        </is>
      </c>
      <c r="F19" s="40" t="inlineStr">
        <is>
          <t>S</t>
        </is>
      </c>
      <c r="G19" s="20" t="inlineStr">
        <is>
          <t>Index promises content §4/§6 don't contain</t>
        </is>
      </c>
      <c r="H19" s="20" t="inlineStr">
        <is>
          <t>Current first-aid standard (CPR 30:2, IM adrenaline, choking back-blows/thrusts)</t>
        </is>
      </c>
      <c r="I19" s="20" t="inlineStr">
        <is>
          <t>2</t>
        </is>
      </c>
      <c r="J19" s="39" t="inlineStr">
        <is>
          <t>Resolved</t>
        </is>
      </c>
      <c r="K19" s="20" t="inlineStr">
        <is>
          <t>DONE: added CPR (30:2, 5–6cm, 100–120), Choking (5+5, CPR if unconscious), Anaphylaxis (IM adrenaline 0.5mg 1:1000 mid-thigh, lie flat/never stand, repeat 5min) to §4; Drowning (5 breaths first, then 30:2, not compression-only, secondary-drowning evac) to §6; §1 index reconciled. All to current Resus Council/ANZCOR/Red Cross standard. div 324/324, JS OK.</t>
        </is>
      </c>
      <c r="L19" s="27" t="inlineStr">
        <is>
          <t>Closed</t>
        </is>
      </c>
    </row>
    <row r="20" ht="15" customHeight="1" s="21">
      <c r="A20" s="20" t="inlineStr">
        <is>
          <t>TA-018</t>
        </is>
      </c>
      <c r="B20" s="20" t="inlineStr">
        <is>
          <t>LC_Service_history_FINAL.xlsx + LC76_Facts.txt + LC76_Service_History.html (R8)</t>
        </is>
      </c>
      <c r="C20" s="20" t="inlineStr">
        <is>
          <t>R8/Facts</t>
        </is>
      </c>
      <c r="D20" s="20" t="inlineStr">
        <is>
          <t>Udel Jun 2026 fuel-injection overhaul UNRECORDED</t>
        </is>
      </c>
      <c r="E20" s="20" t="inlineStr">
        <is>
          <t>CORRECTED: Udel overhaul IS fully recorded in the LIVE repo. R8 (GitHub) = 314 records, R810,872.32, 25 Udel line items summing R36,729.31 (inv 51488/Job 50017; Gov 093500-6070/Pump 196000-6070), per-cylinder valve was/set table, injectors+pump+glow+filter housing+tank clean all logged. Facts.txt updated (latest 310,412; valves resolved). Reconciles to the cent: 289+25=314; R774,143.01+R36,729.31=R810,872.32. My initial 'unrecorded' reading came from STALE project-knowledge copies + stale project xlsx — the fetch-before-edit governance trap. RESIDUAL: (a) xlsx authoritative (project copy) still 289/R774,143 — lags R8 by the 25 Udel rows; (b) R24 Fuel System Guide not yet updated for the overhaul (no 310,412/Udel mention).</t>
        </is>
      </c>
      <c r="F20" s="38" t="inlineStr">
        <is>
          <t>M</t>
        </is>
      </c>
      <c r="G20" s="20" t="inlineStr">
        <is>
          <t>All authoritatives stale/contradictory</t>
        </is>
      </c>
      <c r="H20" s="20" t="inlineStr">
        <is>
          <t>Project brief + memory describe the work; records do not contain it</t>
        </is>
      </c>
      <c r="I20" s="20" t="inlineStr">
        <is>
          <t>internal</t>
        </is>
      </c>
      <c r="J20" s="27" t="inlineStr">
        <is>
          <t>CLOSED — xlsx re-tied, R24 confirmed no-defect</t>
        </is>
      </c>
      <c r="K20" s="20" t="inlineStr">
        <is>
          <t>(a) Append the 25 Udel rows to the xlsx authoritative to re-tie to R8 (314/R810,872.32), OR confirm R8 embedded JSON is now the financial source-of-truth and retire the lagging xlsx. (b) Propagate the overhaul into R24 (pump rebuild + injector recon + new filter housing). NOTE governance: always fetch live before concluding. — RESOLVED: (a) 25 Udel rows appended to LC_Service_history_FINAL.xlsx (2 legacy formula cells in Cost col also converted to static values — lost cached results on resave, caught before finalising). Now 314 records, R810,872.32, ties to R8 embedded ledger to the cent. (b) R24 Fuel System Guide checked — pure system/theory reference, no dated history anywhere, consistently cross-refers to R8 (same pattern as R22/R8 precedent). No defect; no edit needed.</t>
        </is>
      </c>
      <c r="L20" s="27" t="inlineStr">
        <is>
          <t>Closed</t>
        </is>
      </c>
    </row>
    <row r="21">
      <c r="A21" s="20" t="inlineStr">
        <is>
          <t>TA-019</t>
        </is>
      </c>
      <c r="B21" s="20" t="inlineStr">
        <is>
          <t>LC76_Spares_Tools.html</t>
        </is>
      </c>
      <c r="C21" s="20" t="inlineStr">
        <is>
          <t>R3</t>
        </is>
      </c>
      <c r="D21" s="20" t="inlineStr">
        <is>
          <t>Valve-adjust description (shim vs locknut)</t>
        </is>
      </c>
      <c r="E21" s="20" t="inlineStr">
        <is>
          <t>L1323 — 'On the 1HZ, clearance adjustment requires a 12mm spanner on the rocker adjuster and a 12mm on the locknut — both done simultaneously' — same defect as TA-001 in R4. 1HZ is shim-type (confirmed by Udel Jun 2026 12-shim adjustment).</t>
        </is>
      </c>
      <c r="F21" s="41" t="inlineStr">
        <is>
          <t>S</t>
        </is>
      </c>
      <c r="G21" s="20" t="inlineStr">
        <is>
          <t>Contradicts FSM &amp; real shim job</t>
        </is>
      </c>
      <c r="H21" s="20" t="inlineStr">
        <is>
          <t>FSM RM617E SS-3 + Udel Jun 2026 service record</t>
        </is>
      </c>
      <c r="I21" s="20" t="inlineStr">
        <is>
          <t>1</t>
        </is>
      </c>
      <c r="J21" s="29" t="inlineStr">
        <is>
          <t>CONFIRMED defect — FIXED</t>
        </is>
      </c>
      <c r="K21" s="20" t="inlineStr">
        <is>
          <t>FIX in R3 pass (this session): re-write field-note to shim-type description, reclassify difficulty (SST + cam removal). | FIXED — re-wrote field-note: 1HZ shim-type valvetrain (bucket-and-shim, no rocker arms), workshop job (SST + cam-bearing-cap discipline + shim stock), and recorded Udel Jun 2026 12-shim adjustment. (this session)</t>
        </is>
      </c>
      <c r="L21" s="29" t="inlineStr">
        <is>
          <t>Closed</t>
        </is>
      </c>
    </row>
    <row r="22">
      <c r="A22" s="20" t="inlineStr">
        <is>
          <t>TA-020</t>
        </is>
      </c>
      <c r="B22" s="20" t="inlineStr">
        <is>
          <t>LC76_1HZ_Troubleshooting_Guide.html</t>
        </is>
      </c>
      <c r="C22" s="20" t="inlineStr">
        <is>
          <t>R18</t>
        </is>
      </c>
      <c r="D22" s="20" t="inlineStr">
        <is>
          <t>Stale valve-gap + pre-trip pump-rebuild claims (post-Udel)</t>
        </is>
      </c>
      <c r="E22" s="20" t="inlineStr">
        <is>
          <t>Three obsolete claims: (a) L376 symptom-row cause 'Valve clearances overdue, injector rattle'; (b) L563 warn-box 'Valve clearances on this vehicle have NO RECORD at ~310,000 km — critical overdue'; (c) L714 note-box recommending pre-2028 pump rebuild — Udel rebuilt the VE pump Jun 2026.</t>
        </is>
      </c>
      <c r="F22" s="42" t="inlineStr">
        <is>
          <t>M</t>
        </is>
      </c>
      <c r="G22" s="20" t="inlineStr">
        <is>
          <t>All authoritatives already updated (Facts.txt §3 RESOLVED; R8 valve table present)</t>
        </is>
      </c>
      <c r="H22" s="20" t="inlineStr">
        <is>
          <t>LC76_Facts.txt §3; R8 Service History</t>
        </is>
      </c>
      <c r="I22" s="20" t="inlineStr">
        <is>
          <t>internal</t>
        </is>
      </c>
      <c r="J22" s="29" t="inlineStr">
        <is>
          <t>CONFIRMED — three stale propagation points</t>
        </is>
      </c>
      <c r="K22" s="20" t="inlineStr">
        <is>
          <t>FIXED — R18 three surgical edits (this session): (a) ticking row cause → 'Injector rattle, top-end wear (valves SET Jun 2026)'; (b) warn-box → ✓ SET 19 Jun 2026; (c) note-box → ✓ pump rebuilt &amp; calibrated Udel (Gov 093500-6070 / Pump 196000-6070).</t>
        </is>
      </c>
      <c r="L22" s="29" t="inlineStr">
        <is>
          <t>Closed</t>
        </is>
      </c>
    </row>
    <row r="23">
      <c r="A23" s="20" t="inlineStr">
        <is>
          <t>TA-021</t>
        </is>
      </c>
      <c r="B23" s="20" t="inlineStr">
        <is>
          <t>LC76_Bush_Mechanics_Guide.html</t>
        </is>
      </c>
      <c r="C23" s="20" t="inlineStr">
        <is>
          <t>R27</t>
        </is>
      </c>
      <c r="D23" s="20" t="inlineStr">
        <is>
          <t>Stale valve-gap warning (post-Udel)</t>
        </is>
      </c>
      <c r="E23" s="20" t="inlineStr">
        <is>
          <t>L1009 warn-box 'HZJ76R-RKMRS has no valve clearance service on record at ~310,000 km. A bent valve from timing belt failure on top of this service gap…' — valves SET Jun 2026. The crank-seal-protects-timing-belt point itself is still valid (a fresh shim adjustment doesn't make a contaminated belt safe on an interference engine).</t>
        </is>
      </c>
      <c r="F23" s="42" t="inlineStr">
        <is>
          <t>M</t>
        </is>
      </c>
      <c r="G23" s="20" t="inlineStr">
        <is>
          <t>Facts.txt §3 RESOLVED; R8 records adjustment</t>
        </is>
      </c>
      <c r="H23" s="20" t="inlineStr">
        <is>
          <t>LC76_Facts.txt §3; R8</t>
        </is>
      </c>
      <c r="I23" s="20" t="inlineStr">
        <is>
          <t>internal</t>
        </is>
      </c>
      <c r="J23" s="29" t="inlineStr">
        <is>
          <t>CONFIRMED — stale claim, valid surrounding point</t>
        </is>
      </c>
      <c r="K23" s="20" t="inlineStr">
        <is>
          <t>FIXED — re-wrote warn-box: valve adjustment recorded; crank-seal threat to belt remains the active risk on an interference engine. (this session)</t>
        </is>
      </c>
      <c r="L23" s="29" t="inlineStr">
        <is>
          <t>Closed</t>
        </is>
      </c>
    </row>
    <row r="24">
      <c r="A24" s="20" t="inlineStr">
        <is>
          <t>TA-022</t>
        </is>
      </c>
      <c r="B24" s="20" t="inlineStr">
        <is>
          <t>LC76_Cooling_System_Guide.html</t>
        </is>
      </c>
      <c r="C24" s="20" t="inlineStr">
        <is>
          <t>R22</t>
        </is>
      </c>
      <c r="D24" s="20" t="inlineStr">
        <is>
          <t>'~308,500 km' current-odo refs (6 spots)</t>
        </is>
      </c>
      <c r="E24" s="20" t="inlineStr">
        <is>
          <t>Six occurrences of 308,500 km as current odometer (masthead L372; fan-clutch test card L518/L1031; water-pump life narrative L539; thermostat replace card L645). All keyed off Apr 2026 cooling event — current canonical is 310,412 km.</t>
        </is>
      </c>
      <c r="F24" s="42" t="inlineStr">
        <is>
          <t>M</t>
        </is>
      </c>
      <c r="G24" s="20" t="inlineStr">
        <is>
          <t>Lags Facts.txt §2 (310,412)</t>
        </is>
      </c>
      <c r="H24" s="20" t="inlineStr">
        <is>
          <t>Facts §2</t>
        </is>
      </c>
      <c r="I24" s="20" t="inlineStr">
        <is>
          <t>internal</t>
        </is>
      </c>
      <c r="J24" s="41" t="inlineStr">
        <is>
          <t>Stale current</t>
        </is>
      </c>
      <c r="K24" s="20" t="inlineStr">
        <is>
          <t>DEFER to T4 odometer batch (with R8 'Current Service Status' and R8s) — same surgical pattern as R8s re-key. Preserve event mileages (Apr 2026 @ 308,500 Radiator King test stays). — DONE 21 Jun 2026 (T4): 3 current re-keys → 310,412; events preserved.</t>
        </is>
      </c>
      <c r="L24" s="42" t="inlineStr">
        <is>
          <t>Closed</t>
        </is>
      </c>
    </row>
    <row r="25">
      <c r="A25" s="20" t="inlineStr">
        <is>
          <t>TA-023</t>
        </is>
      </c>
      <c r="B25" s="20" t="inlineStr">
        <is>
          <t>LC76_Turbo_Operations_Guide.html</t>
        </is>
      </c>
      <c r="C25" s="20" t="inlineStr">
        <is>
          <t>R21</t>
        </is>
      </c>
      <c r="D25" s="20" t="inlineStr">
        <is>
          <t>Boost-gauge-pending qualifier (now confirmed)</t>
        </is>
      </c>
      <c r="E25" s="20" t="inlineStr">
        <is>
          <t>L399 exhaust note ends 'worth confirming once the boost gauge is verified' — boost confirmed by Udel Jun 2026 at 0.6 bar (8.7 psi), within SAC low-boost envelope. The (7–10 psi) range on L485 spans the confirmed reading and needs no edit.</t>
        </is>
      </c>
      <c r="F25" s="29" t="inlineStr">
        <is>
          <t>E</t>
        </is>
      </c>
      <c r="G25" s="20" t="inlineStr">
        <is>
          <t>Facts.txt confirms 0.6 bar Jun 2026</t>
        </is>
      </c>
      <c r="H25" s="20" t="inlineStr">
        <is>
          <t>Facts §2 / R8 Udel notes</t>
        </is>
      </c>
      <c r="I25" s="20" t="inlineStr">
        <is>
          <t>internal</t>
        </is>
      </c>
      <c r="J25" s="41" t="inlineStr">
        <is>
          <t>Stale qualifier</t>
        </is>
      </c>
      <c r="K25" s="20" t="inlineStr">
        <is>
          <t>FIXED — clause re-keyed to 'boost confirmed by Udel Jun 2026 at 0.6 bar (8.7 psi), within the SAC low-boost envelope.'</t>
        </is>
      </c>
      <c r="L25" s="29" t="inlineStr">
        <is>
          <t>Closed</t>
        </is>
      </c>
    </row>
    <row r="26">
      <c r="A26" s="20" t="inlineStr">
        <is>
          <t>TA-024</t>
        </is>
      </c>
      <c r="B26" s="20" t="inlineStr">
        <is>
          <t>LC76_Engine_Training.html</t>
        </is>
      </c>
      <c r="C26" s="20" t="inlineStr">
        <is>
          <t>R4</t>
        </is>
      </c>
      <c r="D26" s="20" t="inlineStr">
        <is>
          <t>1HZ engine architecture misdescribed as OHV throughout</t>
        </is>
      </c>
      <c r="E26" s="20" t="inlineStr">
        <is>
          <t>R4 describes the 1HZ as OHV (camshaft in block, pushrods, rocker arms) across SIX locations: L314 (TOC '2.3 Push Rods &amp; Rocker Arms'), L593 (Cylinder Head card 'camshaft runs in the block (OHV layout)'), L609-622 (Push Rods &amp; Rocker Arms card — the original TA-001 target), L643 (Valve Cover card 'encloses the rocker arms, rocker shaft, upper ends of the pushrods'), L723 (Camshaft card 'long cast iron shaft running the full length of the block… Unlike overhead cam engines, the 1HZ cam is deep inside the block'), L727 (cam-wear: 'pushrod no longer lifts'). Reality: 1HZ is SOHC, belt-driven OHC, bucket-and-shim valvetrain. Text appears to have been written for the predecessor 2H (which IS OHV+pushrods) and never corrected. TA-001 fix on one card alone would create internal contradictions across the other five locations.</t>
        </is>
      </c>
      <c r="F26" s="41" t="inlineStr">
        <is>
          <t>S</t>
        </is>
      </c>
      <c r="G26" s="20" t="inlineStr">
        <is>
          <t>Contradicts FSM RM617E + Udel Jun 2026 shim job</t>
        </is>
      </c>
      <c r="H26" s="20" t="inlineStr">
        <is>
          <t>FSM RM617E SS-1/SS-3 (1HZ valvetrain); R8 valve-set table (12 shims)</t>
        </is>
      </c>
      <c r="I26" s="20" t="inlineStr">
        <is>
          <t>1</t>
        </is>
      </c>
      <c r="J26" s="41" t="inlineStr">
        <is>
          <t>CONFIRMED — structural defect across R4 (supersedes TA-001 single-card scope) — RESOLVED 21 Jun 2026</t>
        </is>
      </c>
      <c r="K26" s="20" t="inlineStr">
        <is>
          <t>DEFER to dedicated R4 session (B-path agreed): full propose-then-execute pass on all six locations + TOC rename + spec-table row + cam-wear mechanism wording. Original TA-001 stays open as the locknut/method sub-component of this finding. | RESOLVED 21 Jun 2026 (R4 dedicated session): full SOHC reconciliation executed — 16 surgical edits. Full-file sweep found 5 further OHV remnants beyond the brief's 7 targets, which would have left R4 self-contradictory: section-2 desc (L545), core-card glyph (L605), valve-cover loc-pill (L638), camshaft comp-code 'IN-BLOCK OHV/6 LOBES' (L715), camshaft loc-pill 'Inside the engine block' (L718). Two embedded errors in the old text also corrected: clearance values 0.25/0.30 -&gt; 0.15-0.25/0.35-0.45 mm cold, and lobe count 6 -&gt; 12. Core card retitled 'Camshaft, Buckets &amp; Shims'; tip relabelled 'Field Difficulty' (Section 4 approved text used verbatim). Boost-compensator push rod (L1017) correctly left untouched (different component). Validation: div balance held 939/942 (pre-existing -3 is outside scope, flagged to owner separately), JS OK, OHV sweep clean. R4 was the last library doc carrying OHV text — architecture-description cluster now closed library-wide.</t>
        </is>
      </c>
      <c r="L26" s="42" t="inlineStr">
        <is>
          <t>Closed</t>
        </is>
      </c>
    </row>
    <row r="27">
      <c r="A27" s="20" t="inlineStr">
        <is>
          <t>TA-025</t>
        </is>
      </c>
      <c r="B27" s="20" t="inlineStr">
        <is>
          <t>LC76_Pre_Trip_Prep_Protocol.html</t>
        </is>
      </c>
      <c r="C27" s="20" t="inlineStr">
        <is>
          <t>R23</t>
        </is>
      </c>
      <c r="D27" s="20" t="inlineStr">
        <is>
          <t>Udel-superseded powertrain verdicts (valves/injectors/pump) presented as outstanding pre-trip tasks</t>
        </is>
      </c>
      <c r="E27" s="20" t="inlineStr">
        <is>
          <t>R23 commissions valve-set, injector pop-test/recon and pump calibration as FUTURE workshop tasks citing Mar 2025 DupDiesel as latest. All completed by Udel 19 Jun 2026 @ 310,412 km (VE pump rebuild, 6 injectors reconditioned w/ new nozzles, all 12 valves set — first recorded adjustment). Verdicts flipped to done; forward re-tests genericised per supplier rule; Mar 2025 dyno 118 kW/373 Nm preserved as current (Facts §5).</t>
        </is>
      </c>
      <c r="F27" s="41" t="inlineStr">
        <is>
          <t>M</t>
        </is>
      </c>
      <c r="G27" s="20" t="inlineStr">
        <is>
          <t>Facts §2 Udel scope; ledger (pre-Udel) confirms prior state</t>
        </is>
      </c>
      <c r="H27" s="20" t="inlineStr">
        <is>
          <t>LC76_Facts.txt §2/§5; LC_Service_history_FINAL.xlsx</t>
        </is>
      </c>
      <c r="I27" s="20" t="inlineStr">
        <is>
          <t>internal</t>
        </is>
      </c>
      <c r="J27" s="41" t="inlineStr">
        <is>
          <t>Stale (pre-Udel)</t>
        </is>
      </c>
      <c r="K27" s="20" t="inlineStr">
        <is>
          <t>R23 conformance pass 21 Jun 2026 (T4): valve/injector/pump verdicts → Udel Jun 2026; brief-list L1340-1342 marked done.</t>
        </is>
      </c>
      <c r="L27" s="42" t="inlineStr">
        <is>
          <t>Closed</t>
        </is>
      </c>
    </row>
    <row r="28">
      <c r="A28" s="20" t="inlineStr">
        <is>
          <t>TA-026</t>
        </is>
      </c>
      <c r="B28" s="20" t="inlineStr">
        <is>
          <t>LC76_Pre_Trip_Prep_Protocol.html</t>
        </is>
      </c>
      <c r="C28" s="20" t="inlineStr">
        <is>
          <t>R23</t>
        </is>
      </c>
      <c r="D28" s="20" t="inlineStr">
        <is>
          <t>Exhaust valve-clearance spec below authoritative range</t>
        </is>
      </c>
      <c r="E28" s="20" t="inlineStr">
        <is>
          <t>Valve task-spec L740 stated cold 'Inlet 0.20 / Exhaust 0.30 mm'. Exhaust 0.30 sits BELOW authoritative range (Facts: intake 0.15-0.25 / exhaust 0.35-0.45 mm cold, confirmed by Udel shim job). Burnt-valve-relevant if followed. Corrected to 0.15-0.25 / 0.35-0.45.</t>
        </is>
      </c>
      <c r="F28" s="41" t="inlineStr">
        <is>
          <t>S</t>
        </is>
      </c>
      <c r="G28" s="20" t="inlineStr">
        <is>
          <t>Contradicts Facts §2 valve spec</t>
        </is>
      </c>
      <c r="H28" s="20" t="inlineStr">
        <is>
          <t>LC76_Facts.txt §2 (Udel authoritative per owner)</t>
        </is>
      </c>
      <c r="I28" s="20" t="inlineStr">
        <is>
          <t>internal</t>
        </is>
      </c>
      <c r="J28" s="41" t="inlineStr">
        <is>
          <t>Spec error (below range)</t>
        </is>
      </c>
      <c r="K28" s="20" t="inlineStr">
        <is>
          <t>Corrected to authoritative spec 21 Jun 2026 (T4).</t>
        </is>
      </c>
      <c r="L28" s="42" t="inlineStr">
        <is>
          <t>Closed</t>
        </is>
      </c>
    </row>
    <row r="29">
      <c r="A29" s="20" t="inlineStr">
        <is>
          <t>TA-027</t>
        </is>
      </c>
      <c r="B29" s="20" t="inlineStr">
        <is>
          <t>LC76_Pre_Trip_Prep_Protocol.html</t>
        </is>
      </c>
      <c r="C29" s="20" t="inlineStr">
        <is>
          <t>R23</t>
        </is>
      </c>
      <c r="D29" s="20" t="inlineStr">
        <is>
          <t>Timing-belt internal contradiction (no-record vs done Apr 2025)</t>
        </is>
      </c>
      <c r="E29" s="20" t="inlineStr">
        <is>
          <t>Self-contradiction: L503/L690/L1340 state belt 'no service record / unknown history / never replaced / replace before expedition, no exceptions', while L577-580/702-703 + Facts + ledger record belt+tensioner+idler+cover replaced 23 Apr 2025 @ 273,023 km (PW Auto Centre, 6 ledger line-items). 'No-record' lines were wrong; would prompt needless replacement of a ~37,389 km belt on an interference engine.</t>
        </is>
      </c>
      <c r="F29" s="41" t="inlineStr">
        <is>
          <t>S</t>
        </is>
      </c>
      <c r="G29" s="20" t="inlineStr">
        <is>
          <t>Ledger 23 Apr 2025 @ 273,023 cambelt job; Facts §2 cambelt 37,389 km</t>
        </is>
      </c>
      <c r="H29" s="20" t="inlineStr">
        <is>
          <t>LC_Service_history_FINAL.xlsx; LC76_Facts.txt §2</t>
        </is>
      </c>
      <c r="I29" s="20" t="inlineStr">
        <is>
          <t>internal</t>
        </is>
      </c>
      <c r="J29" s="41" t="inlineStr">
        <is>
          <t>Internal contradiction / stale</t>
        </is>
      </c>
      <c r="K29" s="20" t="inlineStr">
        <is>
          <t>L503/L690/L1340 corrected to reflect Apr 2025 replacement 21 Jun 2026 (T4). Surfaced by owner complete-file sweep instruction; belt @273,023 ledger-confirmed.</t>
        </is>
      </c>
      <c r="L29" s="42" t="inlineStr">
        <is>
          <t>Closed</t>
        </is>
      </c>
    </row>
    <row r="30">
      <c r="A30" s="20" t="inlineStr">
        <is>
          <t>TA-028</t>
        </is>
      </c>
      <c r="B30" s="20" t="inlineStr">
        <is>
          <t>LC76_Pre_Trip_Prep_Protocol.html</t>
        </is>
      </c>
      <c r="C30" s="20" t="inlineStr">
        <is>
          <t>R23</t>
        </is>
      </c>
      <c r="D30" s="20" t="inlineStr">
        <is>
          <t>Current-odo + derived-km stale (pre-Udel base); pump brand; fuel-filter status</t>
        </is>
      </c>
      <c r="E30" s="20" t="inlineStr">
        <is>
          <t>Current odo ~310,000 and all derived km-since computed off pre-Udel base. Full-refreshed: current 310,412, turbo 86,006, belt 37,389, fluids 16,463, drivetrain 39,212, glow 38,227. Pump brand 'Denso VE' → 'Bosch VE' (Facts/Udel). Fuel-filter housing renewed Udel Jun 2026 — task marked done. Event mileages (308,248/308,500 Apr 2026) preserved.</t>
        </is>
      </c>
      <c r="F30" s="41" t="inlineStr">
        <is>
          <t>M</t>
        </is>
      </c>
      <c r="G30" s="20" t="inlineStr">
        <is>
          <t>Lags Facts §2 (310,412/86,006)</t>
        </is>
      </c>
      <c r="H30" s="20" t="inlineStr">
        <is>
          <t>LC76_Facts.txt §2</t>
        </is>
      </c>
      <c r="I30" s="20" t="inlineStr">
        <is>
          <t>internal</t>
        </is>
      </c>
      <c r="J30" s="41" t="inlineStr">
        <is>
          <t>Stale current/derived</t>
        </is>
      </c>
      <c r="K30" s="20" t="inlineStr">
        <is>
          <t>R23 full-refresh 21 Jun 2026 (T4, scope-b); div 235/235 held; residual sweep clean; events preserved.</t>
        </is>
      </c>
      <c r="L30" s="42" t="inlineStr">
        <is>
          <t>Closed</t>
        </is>
      </c>
    </row>
    <row r="31">
      <c r="A31" s="20" t="inlineStr">
        <is>
          <t>TA-029</t>
        </is>
      </c>
      <c r="B31" s="20" t="inlineStr">
        <is>
          <t>LC76_Service_Checklist.html</t>
        </is>
      </c>
      <c r="C31" s="20" t="inlineStr">
        <is>
          <t>R8 suppl.</t>
        </is>
      </c>
      <c r="D31" s="20" t="inlineStr">
        <is>
          <t>Checklist pre-Udel turbo/flush base + stale valve item</t>
        </is>
      </c>
      <c r="E31" s="20" t="inlineStr">
        <is>
          <t>Turbo-shaft L216 '~85,594 km' and flush L253 '~85,594 km overdue' off pre-Udel base → 86,006. Valve item L244 'NO RECORD … at 310,000 km' flagged critical/noRecord → flipped to 'Set Jun 2026 @ 310,412 km (Udel, shim-type)'; critical/noRecord flags cleared. Interval anchor LAST_SERVICE_KM=308248 RETAINED (Udel = fuel-injection overhaul, not routine interval service — owner-confirmed).</t>
        </is>
      </c>
      <c r="F31" s="41" t="inlineStr">
        <is>
          <t>M</t>
        </is>
      </c>
      <c r="G31" s="20" t="inlineStr">
        <is>
          <t>Lags Facts §2; owner-confirmed anchor</t>
        </is>
      </c>
      <c r="H31" s="20" t="inlineStr">
        <is>
          <t>LC76_Facts.txt §2</t>
        </is>
      </c>
      <c r="I31" s="20" t="inlineStr">
        <is>
          <t>internal</t>
        </is>
      </c>
      <c r="J31" s="41" t="inlineStr">
        <is>
          <t>Stale (pre-Udel)</t>
        </is>
      </c>
      <c r="K31" s="20" t="inlineStr">
        <is>
          <t>Checklist conformance 21 Jun 2026 (T4); div 42/42, JS OK; events 308,248/308,500 preserved.</t>
        </is>
      </c>
      <c r="L31" s="42" t="inlineStr">
        <is>
          <t>Closed</t>
        </is>
      </c>
    </row>
    <row r="32">
      <c r="A32" s="20" t="inlineStr">
        <is>
          <t>TA-030</t>
        </is>
      </c>
      <c r="B32" s="20" t="inlineStr">
        <is>
          <t>LC76_Service_History.html</t>
        </is>
      </c>
      <c r="C32" s="20" t="inlineStr">
        <is>
          <t>R8</t>
        </is>
      </c>
      <c r="D32" s="20" t="inlineStr">
        <is>
          <t>Glow-plug provenance across R8 (L1043) / R23 (L596/834/835) / Facts §2 (L169)</t>
        </is>
      </c>
      <c r="E32" s="20" t="inlineStr">
        <is>
          <t>Glow-plug service date inconsistent. Live R8 ledger (314-rec; Udel 19 Jun 2026 @ 310,412) carries 'Labour to recondition injectors (incl. glow plugs)' — R&amp;R'd during injector recon — but NO glow-plug parts/test line (unlike Mar 2025 DupDiesel 'Glow plugs test'). Correct reading: last TESTED Mar 2025 (DupDiesel); R&amp;R Jun 2026 (Udel), not re-tested/replaced. R8 'Serviced Jun 2026' overstated; R23/Facts 'Mar 2025' understated. [REVISED 21 Jun: original finding ('R8 mis-attributes to Udel; correct to Mar 2025') rested on the pre-Udel project-copy ledger + Facts scope summary; the live R8 embedded ledger corrected it — fetch-before-conclude.]</t>
        </is>
      </c>
      <c r="F32" s="41" t="inlineStr">
        <is>
          <t>M</t>
        </is>
      </c>
      <c r="G32" s="20" t="inlineStr">
        <is>
          <t>Facts §2; ledger; owner confirmation 21 Jun 2026</t>
        </is>
      </c>
      <c r="H32" s="20" t="inlineStr">
        <is>
          <t>LC76_Facts.txt §2; LC_Service_history_FINAL.xlsx</t>
        </is>
      </c>
      <c r="I32" s="20" t="inlineStr">
        <is>
          <t>internal</t>
        </is>
      </c>
      <c r="J32" s="41" t="inlineStr">
        <is>
          <t>Cross-doc inconsistency</t>
        </is>
      </c>
      <c r="K32" s="20" t="inlineStr">
        <is>
          <t>Harmonised wording 'tested Mar 2025 (DupDiesel); R&amp;R Jun 2026 (Udel), not re-tested' applied to R23 + Facts §2 21 Jun 2026 (T4). R8 interval-tracker L1043 ('Serviced Jun 2026') to be refined to same wording in R8 session.  | [R8 T4 pass 21 Jun 2026] R8 L1043 cell -&gt; 'Tested Mar 2025 @ 272,185km (DupDiesel); R&amp;R Jun 2026 (Udel, injector recon) - not re-tested'; status -&gt; 'Tested Mar 2025; R&amp;R Jun 2026'. L778 narrative parity-appended '(R&amp;R Jun 2026, Udel - not re-tested)'. Now matches R23 + Facts §2. CLOSED.</t>
        </is>
      </c>
      <c r="L32" s="42" t="inlineStr">
        <is>
          <t>Closed</t>
        </is>
      </c>
    </row>
    <row r="33">
      <c r="A33" s="20" t="inlineStr">
        <is>
          <t>TA-031</t>
        </is>
      </c>
      <c r="B33" s="20" t="inlineStr">
        <is>
          <t>LC76_Pre_Trip_Prep_Protocol.html / LC76_Facts.txt</t>
        </is>
      </c>
      <c r="C33" s="20" t="inlineStr">
        <is>
          <t>R23 / Facts</t>
        </is>
      </c>
      <c r="D33" s="20" t="inlineStr">
        <is>
          <t>Diesel-tank Jun 2026 remediation not recorded</t>
        </is>
      </c>
      <c r="E33" s="20" t="inlineStr">
        <is>
          <t>Live R8 ledger records Udel 19 Jun 2026 @ 310,412 'Remove, clean &amp; refit diesel tank (labour) — dropped, flushed, refitted, fuel-contamination remediation' — likely ROOT CAUSE of the overhaul (tank flush + pump rebuild + injector recon + new filter housing). R23 fuel section warned of contamination generically but never recorded the event; Facts §2 listed only the Feb 2024 SAC tank refit.</t>
        </is>
      </c>
      <c r="F33" s="41" t="inlineStr">
        <is>
          <t>M</t>
        </is>
      </c>
      <c r="G33" s="20" t="inlineStr">
        <is>
          <t>Live R8 ledger Udel rows; owner-confirmed</t>
        </is>
      </c>
      <c r="H33" s="20" t="inlineStr">
        <is>
          <t>R8 embedded ledger / LC_Service_history_FINAL.xlsx</t>
        </is>
      </c>
      <c r="I33" s="20" t="inlineStr">
        <is>
          <t>internal</t>
        </is>
      </c>
      <c r="J33" s="41" t="inlineStr">
        <is>
          <t>Omission (remediation event)</t>
        </is>
      </c>
      <c r="K33" s="20" t="inlineStr">
        <is>
          <t>R23 fuel section + Facts §2 updated 21 Jun 2026 (T4) with the Jun 2026 tank remediation; R8 ledger already carries the line (no R8 change).</t>
        </is>
      </c>
      <c r="L33" s="42" t="inlineStr">
        <is>
          <t>Closed</t>
        </is>
      </c>
    </row>
    <row r="34">
      <c r="A34" s="20" t="inlineStr">
        <is>
          <t>TA-032</t>
        </is>
      </c>
      <c r="B34" s="20" t="inlineStr">
        <is>
          <t>LC76_Upgrade_Assessment.html</t>
        </is>
      </c>
      <c r="C34" s="20" t="inlineStr">
        <is>
          <t>R31</t>
        </is>
      </c>
      <c r="D34" s="20" t="inlineStr">
        <is>
          <t>Spec lines (×4 '0.5 bar'; '~7 psi')</t>
        </is>
      </c>
      <c r="E34" s="20" t="inlineStr">
        <is>
          <t>Turbo boost stated 0.5 bar (~7 psi)</t>
        </is>
      </c>
      <c r="F34" s="41" t="inlineStr">
        <is>
          <t>M</t>
        </is>
      </c>
      <c r="G34" s="20" t="inlineStr">
        <is>
          <t>Facts disagrees</t>
        </is>
      </c>
      <c r="H34" s="20" t="inlineStr">
        <is>
          <t>Facts §1/§ — 0.6 bar (~8.7 psi) confirmed Jun 2026 (Udel)</t>
        </is>
      </c>
      <c r="I34" s="20" t="inlineStr">
        <is>
          <t>Tier-1</t>
        </is>
      </c>
      <c r="J34" s="41" t="inlineStr">
        <is>
          <t>STALE — superseded by Jun 2026 measured boost</t>
        </is>
      </c>
      <c r="K34" s="20" t="inlineStr">
        <is>
          <t>T4-remainder R31 pass: 0.5 bar-&gt;0.6 bar, ~7 psi-&gt;~8.7 psi, add 'confirmed Jun 2026' framing. Bar primary unit. NB possible library-wide (R21/R4/R18 may carry 0.5 bar) — out of T4-remainder scope, flag for boost sweep.</t>
        </is>
      </c>
      <c r="L34" s="42" t="inlineStr">
        <is>
          <t>Closed</t>
        </is>
      </c>
    </row>
    <row r="35">
      <c r="A35" s="20" t="inlineStr">
        <is>
          <t>TA-033</t>
        </is>
      </c>
      <c r="B35" s="20" t="inlineStr">
        <is>
          <t>R11 / R28 / R31</t>
        </is>
      </c>
      <c r="C35" s="20" t="inlineStr">
        <is>
          <t>R11,R28,R31</t>
        </is>
      </c>
      <c r="D35" s="20" t="inlineStr">
        <is>
          <t>R11 odo line; R28 masthead; R31 'km on recon' ×2</t>
        </is>
      </c>
      <c r="E35" s="20" t="inlineStr">
        <is>
          <t>R11/R28 '~310,000 km' (current); R31 '~84,000 km on recon' (derived)</t>
        </is>
      </c>
      <c r="F35" s="41" t="inlineStr">
        <is>
          <t>M</t>
        </is>
      </c>
      <c r="G35" s="20" t="inlineStr">
        <is>
          <t>Facts disagrees</t>
        </is>
      </c>
      <c r="H35" s="20" t="inlineStr">
        <is>
          <t>Facts §2 — 310,412 km (19 Jun 2026); turbo recon since = 86,006 (=310,412-224,406)</t>
        </is>
      </c>
      <c r="I35" s="20" t="inlineStr">
        <is>
          <t>Tier-1</t>
        </is>
      </c>
      <c r="J35" s="41" t="inlineStr">
        <is>
          <t>STALE current (A) + derived (D)</t>
        </is>
      </c>
      <c r="K35" s="20" t="inlineStr">
        <is>
          <t>T4-remainder: R11/R28 current-odo 310,000-&gt;310,412 (Type-A); R31 turbo-recon ~84,000-&gt;86,006 (Type-D). SWEEP all 84,000 &amp; classify — R31 'R48,000-R89,000' are RAND costs, PRESERVE. Current vs event vs cost discipline. | R31 derived km-on-recon → 86,006 DONE 22 Jun 2026; R11/R28 current-odo pending. | R11 odo ~310,000→310,412 DONE 22 Jun; R28 masthead pending. | R28 masthead ~310,000→310,412 DONE 22 Jun. ALL THREE DOCS COMPLETE → CLOSED.</t>
        </is>
      </c>
      <c r="L35" s="42" t="inlineStr">
        <is>
          <t>Closed</t>
        </is>
      </c>
    </row>
    <row r="36">
      <c r="A36" s="20" t="inlineStr">
        <is>
          <t>TA-034</t>
        </is>
      </c>
      <c r="B36" s="20" t="inlineStr">
        <is>
          <t>R1/R13/R19/R23/R24/R27</t>
        </is>
      </c>
      <c r="C36" s="20" t="inlineStr">
        <is>
          <t>R1,R13,R19,R23,R24,R27</t>
        </is>
      </c>
      <c r="D36" s="20" t="inlineStr">
        <is>
          <t>Spec / overview / masthead turbo refs</t>
        </is>
      </c>
      <c r="E36" s="20" t="inlineStr">
        <is>
          <t>Turbo shown in spec/overview/masthead with no boost figure — add 0.6 bar (bar-only) for library consistency</t>
        </is>
      </c>
      <c r="F36" s="41" t="inlineStr">
        <is>
          <t>L</t>
        </is>
      </c>
      <c r="G36" s="20" t="inlineStr">
        <is>
          <t>Consistency (no stale 0.5 bar exists anywhere)</t>
        </is>
      </c>
      <c r="H36" s="20" t="inlineStr">
        <is>
          <t>Udel Jun 2026 boost confirmation (0.6 bar)</t>
        </is>
      </c>
      <c r="I36" s="20" t="inlineStr">
        <is>
          <t>—</t>
        </is>
      </c>
      <c r="J36" s="41" t="inlineStr">
        <is>
          <t>Boost-add sweep — add 0.6 bar (bar-only)</t>
        </is>
      </c>
      <c r="K36" s="20" t="inlineStr">
        <is>
          <t>Session 1, 22 Jun 2026 (§5 step 1): R1 row-val -&gt; '0.6 bar · 118 kW / 373 Nm'; R13 drivetrain line -&gt; '...with SAC turbo at 0.6 bar'. R8/R21 already 0.6 bar (reference, untouched). Remaining ADDs: R19/R23/R24/R27 (each its own session, &gt;80KB). Closes when full sweep done.</t>
        </is>
      </c>
      <c r="L36" s="42" t="inlineStr">
        <is>
          <t>Open</t>
        </is>
      </c>
    </row>
    <row r="37">
      <c r="A37" s="20" t="inlineStr">
        <is>
          <t>TA-035</t>
        </is>
      </c>
      <c r="B37" s="20" t="inlineStr">
        <is>
          <t>R19/R20/R23/R27/R34</t>
        </is>
      </c>
      <c r="C37" s="20" t="inlineStr">
        <is>
          <t>R19,R20,R23,R27,R34</t>
        </is>
      </c>
      <c r="D37" s="20" t="inlineStr">
        <is>
          <t>Mastheads (current-odo) + derived turbo-km</t>
        </is>
      </c>
      <c r="E37" s="20" t="inlineStr">
        <is>
          <t>Stale current-odo mastheads ~310,000 -&gt; 310,412 km; stale derived turbo-km ~80,600 -&gt; ~86,006 km</t>
        </is>
      </c>
      <c r="F37" s="41" t="inlineStr">
        <is>
          <t>L</t>
        </is>
      </c>
      <c r="G37" s="20" t="inlineStr">
        <is>
          <t>Current-vs-event-vs-cost discipline</t>
        </is>
      </c>
      <c r="H37" s="20" t="inlineStr">
        <is>
          <t>Odometer read 19 Jun 2026 (310,412); recon base 224,406</t>
        </is>
      </c>
      <c r="I37" s="20" t="inlineStr">
        <is>
          <t>—</t>
        </is>
      </c>
      <c r="J37" s="41" t="inlineStr">
        <is>
          <t>Odo / derived-km propagation</t>
        </is>
      </c>
      <c r="K37" s="20" t="inlineStr">
        <is>
          <t>Session 1, 22 Jun 2026 (§5 step 1): R34 masthead ~310,000-&gt;310,412 (sole occurrence in file; tilde dropped). Remaining: R19/R27 mastheads (fold w/ boost), R20 masthead + derived ~80,600-&gt;~86,006, R23 derived ~80,600-&gt;~86,006. Contextual ~310,000 (R18 x5 / R25 / R20 x2 / R27 x2): default LEAVE. R8 310,000 = milestone labels PRESERVE. Events / install-km (38,429) / costs preserved. Closes when full sweep done.</t>
        </is>
      </c>
      <c r="L37" s="42" t="inlineStr">
        <is>
          <t>Open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H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20" min="1" max="1"/>
    <col width="30" customWidth="1" style="20" min="2" max="2"/>
    <col width="8" customWidth="1" style="20" min="3" max="3"/>
    <col width="28" customWidth="1" style="20" min="4" max="4"/>
    <col width="9" customWidth="1" style="20" min="5" max="5"/>
    <col width="52" customWidth="1" style="20" min="6" max="6"/>
    <col width="14" customWidth="1" style="20" min="7" max="7"/>
    <col width="9" customWidth="1" style="20" min="8" max="8"/>
  </cols>
  <sheetData>
    <row r="1" ht="15" customHeight="1" s="21">
      <c r="A1" s="31" t="inlineStr">
        <is>
          <t>ID</t>
        </is>
      </c>
      <c r="B1" s="31" t="inlineStr">
        <is>
          <t>File</t>
        </is>
      </c>
      <c r="C1" s="31" t="inlineStr">
        <is>
          <t>Pattern</t>
        </is>
      </c>
      <c r="D1" s="31" t="inlineStr">
        <is>
          <t>Check item</t>
        </is>
      </c>
      <c r="E1" s="31" t="inlineStr">
        <is>
          <t>Result</t>
        </is>
      </c>
      <c r="F1" s="31" t="inlineStr">
        <is>
          <t>Defect / note</t>
        </is>
      </c>
      <c r="G1" s="31" t="inlineStr">
        <is>
          <t>Method</t>
        </is>
      </c>
      <c r="H1" s="31" t="inlineStr">
        <is>
          <t>Status</t>
        </is>
      </c>
    </row>
    <row r="2" ht="15" customHeight="1" s="21">
      <c r="A2" s="32" t="inlineStr">
        <is>
          <t>LX-001</t>
        </is>
      </c>
      <c r="B2" s="32" t="inlineStr">
        <is>
          <t>LC76_Design_Guidelines.html</t>
        </is>
      </c>
      <c r="C2" s="32" t="inlineStr">
        <is>
          <t>A</t>
        </is>
      </c>
      <c r="D2" s="32" t="inlineStr">
        <is>
          <t>Version current</t>
        </is>
      </c>
      <c r="E2" s="34" t="inlineStr">
        <is>
          <t>FAIL</t>
        </is>
      </c>
      <c r="F2" s="32" t="inlineStr">
        <is>
          <t>Live still v1.2; drafted v1.3 never committed (=F13)</t>
        </is>
      </c>
      <c r="G2" s="32" t="inlineStr">
        <is>
          <t>Deterministic</t>
        </is>
      </c>
      <c r="H2" s="32" t="inlineStr">
        <is>
          <t>Open</t>
        </is>
      </c>
    </row>
    <row r="3" ht="23.25" customHeight="1" s="21">
      <c r="A3" s="32" t="inlineStr">
        <is>
          <t>LX-002</t>
        </is>
      </c>
      <c r="B3" s="32" t="inlineStr">
        <is>
          <t>LC76_Design_Guidelines.html</t>
        </is>
      </c>
      <c r="C3" s="32" t="inlineStr">
        <is>
          <t>A</t>
        </is>
      </c>
      <c r="D3" s="32" t="inlineStr">
        <is>
          <t>Sticky-wrap background slab</t>
        </is>
      </c>
      <c r="E3" s="34" t="inlineStr">
        <is>
          <t>FAIL</t>
        </is>
      </c>
      <c r="F3" s="32" t="inlineStr">
        <is>
          <t>No ::before background slab on sticky container — DG's own sticky-bg defect (=F13)</t>
        </is>
      </c>
      <c r="G3" s="32" t="inlineStr">
        <is>
          <t>Deterministic</t>
        </is>
      </c>
      <c r="H3" s="32" t="inlineStr">
        <is>
          <t>Open</t>
        </is>
      </c>
    </row>
    <row r="4" ht="23.25" customHeight="1" s="21">
      <c r="A4" s="32" t="inlineStr">
        <is>
          <t>LX-003</t>
        </is>
      </c>
      <c r="B4" s="32" t="inlineStr">
        <is>
          <t>LC76_Design_Guidelines.html</t>
        </is>
      </c>
      <c r="C4" s="32" t="inlineStr">
        <is>
          <t>A</t>
        </is>
      </c>
      <c r="D4" s="32" t="inlineStr">
        <is>
          <t>overflow-x on html not body</t>
        </is>
      </c>
      <c r="E4" s="35" t="inlineStr">
        <is>
          <t>VERIFY</t>
        </is>
      </c>
      <c r="F4" s="32" t="inlineStr">
        <is>
          <t>body{overflow-x:hidden} present — confirm live-CSS (defect, breaks Safari sticky) vs documented anti-pattern example</t>
        </is>
      </c>
      <c r="G4" s="32" t="inlineStr">
        <is>
          <t>Det + read</t>
        </is>
      </c>
      <c r="H4" s="32" t="inlineStr">
        <is>
          <t>Open</t>
        </is>
      </c>
    </row>
    <row r="5" ht="23.25" customHeight="1" s="21">
      <c r="A5" s="32" t="inlineStr">
        <is>
          <t>LX-004</t>
        </is>
      </c>
      <c r="B5" s="32" t="inlineStr">
        <is>
          <t>LC76_Design_Guidelines.html</t>
        </is>
      </c>
      <c r="C5" s="32" t="inlineStr">
        <is>
          <t>A</t>
        </is>
      </c>
      <c r="D5" s="32" t="inlineStr">
        <is>
          <t>No fixed-px content max-width</t>
        </is>
      </c>
      <c r="E5" s="35" t="inlineStr">
        <is>
          <t>VERIFY</t>
        </is>
      </c>
      <c r="F5" s="32" t="inlineStr">
        <is>
          <t>max-width:600px occurrences — likely @media breakpoint (false positive); confirm not a content cap</t>
        </is>
      </c>
      <c r="G5" s="32" t="inlineStr">
        <is>
          <t>Det + read</t>
        </is>
      </c>
      <c r="H5" s="32" t="inlineStr">
        <is>
          <t>Open</t>
        </is>
      </c>
    </row>
    <row r="6" ht="26.25" customHeight="1" s="21">
      <c r="A6" s="32" t="inlineStr">
        <is>
          <t>LX-005</t>
        </is>
      </c>
      <c r="B6" s="32" t="inlineStr">
        <is>
          <t>R26,R32,R33</t>
        </is>
      </c>
      <c r="C6" s="32" t="inlineStr">
        <is>
          <t>A</t>
        </is>
      </c>
      <c r="D6" s="32" t="inlineStr">
        <is>
          <t>Mobile sticky-fix on-device</t>
        </is>
      </c>
      <c r="E6" s="37" t="inlineStr">
        <is>
          <t>CARRIED</t>
        </is>
      </c>
      <c r="F6" s="32" t="inlineStr">
        <is>
          <t>Sticky-fix delivered; on-device PWA verification pending (owner). Promote to DG v1.4 once confirmed. | Owner confirmed on-device PWA pass 21 Jun 2026 (R26/R32/R33 sticky fix). CLOSED. Pattern to be promoted to Design Guidelines v1.4.</t>
        </is>
      </c>
      <c r="G6" s="32" t="inlineStr">
        <is>
          <t>On-device (Neil)</t>
        </is>
      </c>
      <c r="H6" s="32" t="inlineStr">
        <is>
          <t>Closed</t>
        </is>
      </c>
    </row>
    <row r="7" ht="15" customHeight="1" s="21">
      <c r="A7" s="20" t="inlineStr">
        <is>
          <t>LX-006</t>
        </is>
      </c>
      <c r="B7" s="20" t="inlineStr">
        <is>
          <t>LC76_Tyre_Pressure_Calculator.html</t>
        </is>
      </c>
      <c r="C7" s="20" t="inlineStr">
        <is>
          <t>B?</t>
        </is>
      </c>
      <c r="D7" s="20" t="inlineStr">
        <is>
          <t>Calculator palette conformance</t>
        </is>
      </c>
      <c r="E7" s="40" t="inlineStr">
        <is>
          <t>FAIL</t>
        </is>
      </c>
      <c r="F7" s="20" t="inlineStr">
        <is>
          <t>Uses Pattern-A tokens (--amber2/--rule), not the Pattern-B warm palette (--clay/--ochre/--sand/--cream/--bark/--smoke) the other 5 calculators use — stylistic outlier in the calculator family.</t>
        </is>
      </c>
      <c r="G7" s="20" t="inlineStr">
        <is>
          <t>Deterministic</t>
        </is>
      </c>
      <c r="H7" s="20" t="inlineStr">
        <is>
          <t>Open</t>
        </is>
      </c>
    </row>
    <row r="8" ht="15" customHeight="1" s="21">
      <c r="A8" s="20" t="inlineStr">
        <is>
          <t>LX-007</t>
        </is>
      </c>
      <c r="B8" s="20" t="inlineStr">
        <is>
          <t>All 6 calculators</t>
        </is>
      </c>
      <c r="C8" s="20" t="inlineStr">
        <is>
          <t>B</t>
        </is>
      </c>
      <c r="D8" s="20" t="inlineStr">
        <is>
          <t>Home-pill / index-nav consistency</t>
        </is>
      </c>
      <c r="E8" s="27" t="inlineStr">
        <is>
          <t>RESOLVED</t>
        </is>
      </c>
      <c r="F8" s="20" t="inlineStr">
        <is>
          <t>Owner decision: strip from all. Removed anchor + CSS (base + :hover/:active + comment) from Tyre Pressure, Fuel Log, Water, LiFePO4; Fuel Range &amp; Trip already clean. All 6 now pill-free. JS/div validated.</t>
        </is>
      </c>
      <c r="G8" s="20" t="inlineStr">
        <is>
          <t>Det + decision</t>
        </is>
      </c>
      <c r="H8" s="27" t="inlineStr">
        <is>
          <t>Closed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F1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20" min="1" max="1"/>
    <col width="52" customWidth="1" style="20" min="2" max="2"/>
    <col width="24" customWidth="1" style="20" min="3" max="3"/>
    <col width="60" customWidth="1" style="20" min="4" max="4"/>
    <col width="12" customWidth="1" style="20" min="5" max="5"/>
    <col width="34" customWidth="1" style="20" min="6" max="6"/>
  </cols>
  <sheetData>
    <row r="1" ht="15" customHeight="1" s="21">
      <c r="A1" s="31" t="inlineStr">
        <is>
          <t>Ref</t>
        </is>
      </c>
      <c r="B1" s="31" t="inlineStr">
        <is>
          <t>Source</t>
        </is>
      </c>
      <c r="C1" s="31" t="inlineStr">
        <is>
          <t>Type / Tier</t>
        </is>
      </c>
      <c r="D1" s="31" t="inlineStr">
        <is>
          <t>Locator</t>
        </is>
      </c>
      <c r="E1" s="31" t="inlineStr">
        <is>
          <t>Fetched</t>
        </is>
      </c>
      <c r="F1" s="31" t="inlineStr">
        <is>
          <t>Used for</t>
        </is>
      </c>
    </row>
    <row r="2" ht="23.25" customHeight="1" s="21">
      <c r="A2" s="32" t="inlineStr">
        <is>
          <t>EV-01</t>
        </is>
      </c>
      <c r="B2" s="32" t="inlineStr">
        <is>
          <t>Toyota FSM RM617E — 1HZ/1HD-T/1HD-FTE Engine Repair Manual (Jan 1998)</t>
        </is>
      </c>
      <c r="C2" s="32" t="inlineStr">
        <is>
          <t>Tier 1 — primary (engine)</t>
        </is>
      </c>
      <c r="D2" s="32" t="inlineStr">
        <is>
          <t>Uploaded PDF (scanned). Section map p5; SS-1=PDF p71 (offset 70); SS-3 p73 valve/compression/rpm; SS-8 p78 torque</t>
        </is>
      </c>
      <c r="E2" s="32" t="inlineStr">
        <is>
          <t>18 Jun 2026</t>
        </is>
      </c>
      <c r="F2" s="32" t="inlineStr">
        <is>
          <t>TA-000, TA-001; engine tranche</t>
        </is>
      </c>
    </row>
    <row r="3" ht="23.25" customHeight="1" s="21">
      <c r="A3" s="32" t="inlineStr">
        <is>
          <t>EV-02</t>
        </is>
      </c>
      <c r="B3" s="32" t="inlineStr">
        <is>
          <t>Toyota RM730E 'Land Cruiser (H/T)' via toyotamanuals.gitlab.io/RM0584E</t>
        </is>
      </c>
      <c r="C3" s="32" t="inlineStr">
        <is>
          <t>Tier 1 — primary (chassis)</t>
        </is>
      </c>
      <c r="D3" s="32" t="inlineStr">
        <is>
          <t>Per-section text PDFs, e.g. .../rm730e/m_ss_0016.pdf (suspension/axle torque: hub nut 209 N·m, U-bolt 142 N·m)</t>
        </is>
      </c>
      <c r="E3" s="32" t="inlineStr">
        <is>
          <t>18 Jun 2026</t>
        </is>
      </c>
      <c r="F3" s="32" t="inlineStr">
        <is>
          <t>Chassis specs — R13/R25/R34 (tranche 3/2)</t>
        </is>
      </c>
    </row>
    <row r="4" ht="23.25" customHeight="1" s="21">
      <c r="A4" s="32" t="inlineStr">
        <is>
          <t>EV-03</t>
        </is>
      </c>
      <c r="B4" s="32" t="inlineStr">
        <is>
          <t>Live GitHub repo — Register, Facts.txt, 49 in-scope files</t>
        </is>
      </c>
      <c r="C4" s="32" t="inlineStr">
        <is>
          <t>Internal canonical</t>
        </is>
      </c>
      <c r="D4" s="32" t="inlineStr">
        <is>
          <t>raw.githubusercontent.com/Overlandslabs/Consumption/main</t>
        </is>
      </c>
      <c r="E4" s="32" t="inlineStr">
        <is>
          <t>18 Jun 2026</t>
        </is>
      </c>
      <c r="F4" s="32" t="inlineStr">
        <is>
          <t>Concordance; population/availability check</t>
        </is>
      </c>
    </row>
    <row r="5" ht="23.25" customHeight="1" s="21">
      <c r="A5" s="32" t="inlineStr">
        <is>
          <t>EV-04</t>
        </is>
      </c>
      <c r="B5" s="32" t="inlineStr">
        <is>
          <t>Vendor datasheets (OME/ARB, Maxxis, Victron, Terrain Tamer, SAC, Powerflow)</t>
        </is>
      </c>
      <c r="C5" s="32" t="inlineStr">
        <is>
          <t>Tier 1 — primary (aftermarket)</t>
        </is>
      </c>
      <c r="D5" s="32" t="inlineStr">
        <is>
          <t>To be fetched per assertion</t>
        </is>
      </c>
      <c r="E5" s="32" t="inlineStr">
        <is>
          <t>pending</t>
        </is>
      </c>
      <c r="F5" s="32" t="inlineStr">
        <is>
          <t>Aftermarket-part specs across tranches</t>
        </is>
      </c>
    </row>
    <row r="6" ht="15" customHeight="1" s="21">
      <c r="A6" s="20" t="inlineStr">
        <is>
          <t>EV-05</t>
        </is>
      </c>
      <c r="B6" s="20" t="inlineStr">
        <is>
          <t>Maxxis RAZR AT811 — tyre line data (maxxis.com) + LT265/70R16 load/inflation</t>
        </is>
      </c>
      <c r="C6" s="20" t="inlineStr">
        <is>
          <t>Tier 1 — primary (aftermarket)</t>
        </is>
      </c>
      <c r="D6" s="20" t="inlineStr">
        <is>
          <t>LT265/70R16 121/118S Load E, 80psi/552kPa max, 1,449kg/tyre @80psi (vs 44psi 112T std-load variant)</t>
        </is>
      </c>
      <c r="E6" s="20" t="inlineStr">
        <is>
          <t>19 Jun 2026</t>
        </is>
      </c>
      <c r="F6" s="20" t="inlineStr">
        <is>
          <t>TA-007; tyre-pressure baseline envelope</t>
        </is>
      </c>
    </row>
    <row r="7" ht="15" customHeight="1" s="21">
      <c r="A7" s="20" t="inlineStr">
        <is>
          <t>EV-06</t>
        </is>
      </c>
      <c r="B7" s="20" t="inlineStr">
        <is>
          <t>Toyota brake-fluid spec (FMVSS 116 DOT 3/4) + 70-series LSPV bleed practice</t>
        </is>
      </c>
      <c r="C7" s="20" t="inlineStr">
        <is>
          <t>Tier-2/3 corroborative</t>
        </is>
      </c>
      <c r="D7" s="20" t="inlineStr">
        <is>
          <t>Contemporary Toyota RM brake-fluid page (FJ era) + IH8MUD/YotaTech 70-series bleed threads. RM730E m_br page = Tier-1, NOT yet located via search — needs deep-link.</t>
        </is>
      </c>
      <c r="E7" s="20" t="inlineStr">
        <is>
          <t>19 Jun 2026</t>
        </is>
      </c>
      <c r="F7" s="20" t="inlineStr">
        <is>
          <t>TA-011 (R34 fluid/bleed/LSPV)</t>
        </is>
      </c>
    </row>
    <row r="8" ht="15" customHeight="1" s="21">
      <c r="A8" s="20" t="inlineStr">
        <is>
          <t>EV-07</t>
        </is>
      </c>
      <c r="B8" s="20" t="inlineStr">
        <is>
          <t>African Snakebite Institute (africansnakebiteinstitute.com) + CDC Yellow Book / WHO</t>
        </is>
      </c>
      <c r="C8" s="20" t="inlineStr">
        <is>
          <t>Tier-1/2 — recognised authorities</t>
        </is>
      </c>
      <c r="D8" s="20" t="inlineStr">
        <is>
          <t>ASI first-aid + pressure-immobilisation + Green Mamba pages; CDC/WHO malaria prophylaxis standard</t>
        </is>
      </c>
      <c r="E8" s="20" t="inlineStr">
        <is>
          <t>19 Jun 2026</t>
        </is>
      </c>
      <c r="F8" s="20" t="inlineStr">
        <is>
          <t>TA-012 (R17), TA-013 (R10 §5)</t>
        </is>
      </c>
    </row>
    <row r="9" ht="15" customHeight="1" s="21">
      <c r="A9" s="20" t="inlineStr">
        <is>
          <t>EV-08</t>
        </is>
      </c>
      <c r="B9" s="20" t="inlineStr">
        <is>
          <t>Recognised dangerous-game encounter guidance (FGASA-referenced field-guide sources)</t>
        </is>
      </c>
      <c r="C9" s="20" t="inlineStr">
        <is>
          <t>Tier-2 — recognised</t>
        </is>
      </c>
      <c r="D9" s="20" t="inlineStr">
        <is>
          <t>Elephant mock/real charge signs corroborated across News24, Green Safaris guide, FGASA-referenced material</t>
        </is>
      </c>
      <c r="E9" s="20" t="inlineStr">
        <is>
          <t>19 Jun 2026</t>
        </is>
      </c>
      <c r="F9" s="20" t="inlineStr">
        <is>
          <t>TA-014 (R36)</t>
        </is>
      </c>
    </row>
    <row r="10" ht="15" customHeight="1" s="21">
      <c r="A10" s="20" t="inlineStr">
        <is>
          <t>EV-09</t>
        </is>
      </c>
      <c r="B10" s="20" t="inlineStr">
        <is>
          <t>4x4 recovery standards (RACQ, 4x4 Australia, AfMA, CarsGuide, Saber Offroad)</t>
        </is>
      </c>
      <c r="C10" s="20" t="inlineStr">
        <is>
          <t>Tier-2 — recognised</t>
        </is>
      </c>
      <c r="D10" s="20" t="inlineStr">
        <is>
          <t>Snatch-strap MBS 2–3× GVM; tow-ball shear/projectile fatalities; dampener &amp; rated-point doctrine</t>
        </is>
      </c>
      <c r="E10" s="20" t="inlineStr">
        <is>
          <t>19 Jun 2026</t>
        </is>
      </c>
      <c r="F10" s="20" t="inlineStr">
        <is>
          <t>TA-015 (R9)</t>
        </is>
      </c>
    </row>
    <row r="11" ht="15" customHeight="1" s="21">
      <c r="A11" s="20" t="inlineStr">
        <is>
          <t>EV-10</t>
        </is>
      </c>
      <c r="B11" s="20" t="inlineStr">
        <is>
          <t>Vehicle fire-safety guidance (RAC, UK Fire Service, Mobil, Fire Protection Online)</t>
        </is>
      </c>
      <c r="C11" s="20" t="inlineStr">
        <is>
          <t>Tier-2 — recognised</t>
        </is>
      </c>
      <c r="D11" s="20" t="inlineStr">
        <is>
          <t>Don't-open-bonnet (oxygen), ABC/BC dry-powder for vehicle, aim-at-base, carry two</t>
        </is>
      </c>
      <c r="E11" s="20" t="inlineStr">
        <is>
          <t>19 Jun 2026</t>
        </is>
      </c>
      <c r="F11" s="20" t="inlineStr">
        <is>
          <t>TA-016 (R35)</t>
        </is>
      </c>
    </row>
    <row r="12" ht="15" customHeight="1" s="21">
      <c r="A12" s="20" t="inlineStr">
        <is>
          <t>EV-11</t>
        </is>
      </c>
      <c r="B12" s="20" t="inlineStr">
        <is>
          <t>Resus Council UK / ANZCOR / American Red Cross / AHA resuscitation guidelines</t>
        </is>
      </c>
      <c r="C12" s="20" t="inlineStr">
        <is>
          <t>Tier-1/2 — recognised</t>
        </is>
      </c>
      <c r="D12" s="20" t="inlineStr">
        <is>
          <t>Adult CPR 30:2 5–6cm 100–120; anaphylaxis IM adrenaline 0.5mg 1:1000 thigh, lie flat, repeat 5min; drowning ventilations-first 5 breaths then 30:2; choking 5 back-blows/5 thrusts</t>
        </is>
      </c>
      <c r="E12" s="20" t="inlineStr">
        <is>
          <t>19 Jun 2026</t>
        </is>
      </c>
      <c r="F12" s="20" t="inlineStr">
        <is>
          <t>TA-017 protocol drafting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2026-06-18T16:34:08Z</dcterms:created>
  <dcterms:modified xmlns:dcterms="http://purl.org/dc/terms/" xmlns:xsi="http://www.w3.org/2001/XMLSchema-instance" xsi:type="dcterms:W3CDTF">2026-06-22T10:54:21Z</dcterms:modified>
  <cp:revision>0</cp:revision>
</cp:coreProperties>
</file>